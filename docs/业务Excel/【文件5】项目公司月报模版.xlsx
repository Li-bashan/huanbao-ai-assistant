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55" activeTab="1"/>
  </bookViews>
  <sheets>
    <sheet name="1.生产日指标" sheetId="1" r:id="rId1"/>
    <sheet name="1-1.子公司月度报表模板" sheetId="11" r:id="rId2"/>
    <sheet name="1-2月度报表模板" sheetId="9" r:id="rId3"/>
    <sheet name="4.有机板块日指标（单体）" sheetId="6" r:id="rId4"/>
    <sheet name="4-1.有机板块月指标模版" sheetId="12" r:id="rId5"/>
  </sheets>
  <externalReferences>
    <externalReference r:id="rId6"/>
    <externalReference r:id="rId7"/>
  </externalReferences>
  <definedNames>
    <definedName name="_xlnm._FilterDatabase" localSheetId="0" hidden="1">'1.生产日指标'!$A$1:$G$277</definedName>
    <definedName name="_xlnm._FilterDatabase" localSheetId="1" hidden="1">'1-1.子公司月度报表模板'!$B$2:$B$179</definedName>
    <definedName name="_xlnm._FilterDatabase" localSheetId="3" hidden="1">'4.有机板块日指标（单体）'!$F$1:$F$89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胡新</author>
  </authors>
  <commentList>
    <comment ref="D29" authorId="0">
      <text>
        <r>
          <rPr>
            <b/>
            <sz val="9"/>
            <rFont val="宋体"/>
            <charset val="134"/>
          </rPr>
          <t>胡新:</t>
        </r>
        <r>
          <rPr>
            <sz val="9"/>
            <rFont val="宋体"/>
            <charset val="134"/>
          </rPr>
          <t xml:space="preserve">
若无餐厨厨余以及污泥协同的处理线，则全部计入其他垃圾入厂量</t>
        </r>
      </text>
    </comment>
    <comment ref="D32" authorId="0">
      <text>
        <r>
          <rPr>
            <b/>
            <sz val="9"/>
            <rFont val="宋体"/>
            <charset val="134"/>
          </rPr>
          <t>胡新:</t>
        </r>
        <r>
          <rPr>
            <sz val="9"/>
            <rFont val="宋体"/>
            <charset val="134"/>
          </rPr>
          <t xml:space="preserve">
处理外部过来的渗沥液量</t>
        </r>
      </text>
    </comment>
    <comment ref="D110" authorId="0">
      <text>
        <r>
          <rPr>
            <b/>
            <sz val="9"/>
            <rFont val="宋体"/>
            <charset val="134"/>
          </rPr>
          <t>胡新:</t>
        </r>
        <r>
          <rPr>
            <sz val="9"/>
            <rFont val="宋体"/>
            <charset val="134"/>
          </rPr>
          <t xml:space="preserve">
沼气处理量拆分为下方四个指标</t>
        </r>
      </text>
    </comment>
    <comment ref="D130" authorId="0">
      <text>
        <r>
          <rPr>
            <b/>
            <sz val="9"/>
            <rFont val="宋体"/>
            <charset val="134"/>
          </rPr>
          <t>胡新:</t>
        </r>
        <r>
          <rPr>
            <sz val="9"/>
            <rFont val="宋体"/>
            <charset val="134"/>
          </rPr>
          <t xml:space="preserve">
过磅外运量，含生料</t>
        </r>
      </text>
    </comment>
    <comment ref="D131" authorId="0">
      <text>
        <r>
          <rPr>
            <b/>
            <sz val="9"/>
            <rFont val="宋体"/>
            <charset val="134"/>
          </rPr>
          <t>胡新:</t>
        </r>
        <r>
          <rPr>
            <sz val="9"/>
            <rFont val="宋体"/>
            <charset val="134"/>
          </rPr>
          <t xml:space="preserve">
处理外部入厂的炉渣量</t>
        </r>
      </text>
    </comment>
    <comment ref="D132" authorId="0">
      <text>
        <r>
          <rPr>
            <b/>
            <sz val="9"/>
            <rFont val="宋体"/>
            <charset val="134"/>
          </rPr>
          <t>胡新:</t>
        </r>
        <r>
          <rPr>
            <sz val="9"/>
            <rFont val="宋体"/>
            <charset val="134"/>
          </rPr>
          <t xml:space="preserve">
过磅返厂的生料</t>
        </r>
      </text>
    </comment>
    <comment ref="D144" authorId="0">
      <text>
        <r>
          <rPr>
            <b/>
            <sz val="9"/>
            <rFont val="宋体"/>
            <charset val="134"/>
          </rPr>
          <t>胡新:</t>
        </r>
        <r>
          <rPr>
            <sz val="9"/>
            <rFont val="宋体"/>
            <charset val="134"/>
          </rPr>
          <t xml:space="preserve">
PNCR/SER药剂消耗量</t>
        </r>
      </text>
    </comment>
    <comment ref="D164" authorId="0">
      <text>
        <r>
          <rPr>
            <b/>
            <sz val="9"/>
            <rFont val="宋体"/>
            <charset val="134"/>
          </rPr>
          <t>胡新:</t>
        </r>
        <r>
          <rPr>
            <sz val="9"/>
            <rFont val="宋体"/>
            <charset val="134"/>
          </rPr>
          <t xml:space="preserve">
PNCR/SER药剂入厂量</t>
        </r>
      </text>
    </comment>
  </commentList>
</comments>
</file>

<file path=xl/sharedStrings.xml><?xml version="1.0" encoding="utf-8"?>
<sst xmlns="http://schemas.openxmlformats.org/spreadsheetml/2006/main" count="2821" uniqueCount="537">
  <si>
    <t>序号</t>
  </si>
  <si>
    <t>分类</t>
  </si>
  <si>
    <t>指标编号</t>
  </si>
  <si>
    <t>指标名称</t>
  </si>
  <si>
    <t>指标单位</t>
  </si>
  <si>
    <t>计算公式</t>
  </si>
  <si>
    <t>新指标编码后四位</t>
  </si>
  <si>
    <t>统计对象</t>
  </si>
  <si>
    <t>指标编码</t>
  </si>
  <si>
    <t>电量</t>
  </si>
  <si>
    <t>全厂发电量</t>
  </si>
  <si>
    <t>万kW.h</t>
  </si>
  <si>
    <t>计算录入</t>
  </si>
  <si>
    <t>全厂上网电量</t>
  </si>
  <si>
    <t>手工录入</t>
  </si>
  <si>
    <t>全厂下网电量</t>
  </si>
  <si>
    <t>综合厂用电率</t>
  </si>
  <si>
    <t>%</t>
  </si>
  <si>
    <t>综合厂用电量</t>
  </si>
  <si>
    <t>#1发电机发电量</t>
  </si>
  <si>
    <t>#2发电机发电量</t>
  </si>
  <si>
    <t>#3发电机发电量</t>
  </si>
  <si>
    <t>#4发电机发电量</t>
  </si>
  <si>
    <t>#5发电机发电量</t>
  </si>
  <si>
    <t>沼气发电量</t>
  </si>
  <si>
    <t>供汽供热</t>
  </si>
  <si>
    <t>对外供汽量</t>
  </si>
  <si>
    <t>t</t>
  </si>
  <si>
    <t>对外供热量</t>
  </si>
  <si>
    <t>GJ</t>
  </si>
  <si>
    <t>对外供热所需蒸汽</t>
  </si>
  <si>
    <t>对外供汽/供热回水量</t>
  </si>
  <si>
    <t>生活垃圾</t>
  </si>
  <si>
    <t>生活垃圾入厂量</t>
  </si>
  <si>
    <t>生活垃圾入炉量</t>
  </si>
  <si>
    <t>生活垃圾库存量</t>
  </si>
  <si>
    <t>#1炉生活垃圾入炉量</t>
  </si>
  <si>
    <t>#2炉生活垃圾入炉量</t>
  </si>
  <si>
    <t>#3炉生活垃圾入炉量</t>
  </si>
  <si>
    <t>#4炉生活垃圾入炉量</t>
  </si>
  <si>
    <t>#5炉生活垃圾入炉量</t>
  </si>
  <si>
    <t>#6炉生活垃圾入炉量</t>
  </si>
  <si>
    <t>原生垃圾入厂量</t>
  </si>
  <si>
    <t>陈腐垃圾入厂量</t>
  </si>
  <si>
    <t>一般工业固废入厂量</t>
  </si>
  <si>
    <t>其他垃圾入厂量</t>
  </si>
  <si>
    <t>渗沥液产生量</t>
  </si>
  <si>
    <t>渗沥液处理量</t>
  </si>
  <si>
    <t>渗沥液入厂量</t>
  </si>
  <si>
    <t>新增</t>
  </si>
  <si>
    <t>厂内污泥产生量</t>
  </si>
  <si>
    <t>生物质</t>
  </si>
  <si>
    <t>生物质入厂量</t>
  </si>
  <si>
    <t>生物质入炉量</t>
  </si>
  <si>
    <t>生物质供电标煤耗</t>
  </si>
  <si>
    <t>G/kW.h</t>
  </si>
  <si>
    <t>生物质吨价</t>
  </si>
  <si>
    <t>元/t</t>
  </si>
  <si>
    <t>生物质大卡价</t>
  </si>
  <si>
    <t>元/大卡</t>
  </si>
  <si>
    <t>生物质库存量</t>
  </si>
  <si>
    <t>生物质整料库存量</t>
  </si>
  <si>
    <t>生物质碎料库存量</t>
  </si>
  <si>
    <t>生物质整料入厂量</t>
  </si>
  <si>
    <t>生物质碎料入厂量</t>
  </si>
  <si>
    <t>生物质破碎量</t>
  </si>
  <si>
    <t>#1炉生物质入炉量</t>
  </si>
  <si>
    <t>#2炉生物质入炉量</t>
  </si>
  <si>
    <t>#3炉生物质入炉量</t>
  </si>
  <si>
    <t>#4炉生物质入炉量</t>
  </si>
  <si>
    <t>餐厨厨余</t>
  </si>
  <si>
    <t>餐厨垃圾入厂量</t>
  </si>
  <si>
    <t>辅料入厂量</t>
  </si>
  <si>
    <t>地沟油入厂量</t>
  </si>
  <si>
    <t>粪便入厂量</t>
  </si>
  <si>
    <t>厨余垃圾入厂量</t>
  </si>
  <si>
    <t>示范园粪便入厂量</t>
  </si>
  <si>
    <t>粗油脂产量（餐厨）</t>
  </si>
  <si>
    <t>粗粉站粪便入厂量</t>
  </si>
  <si>
    <t>粗油脂产量（地沟油）</t>
  </si>
  <si>
    <t>示范园生物质入厂量</t>
  </si>
  <si>
    <t>餐厨厨余处置系统用电量</t>
  </si>
  <si>
    <t>万kW·h</t>
  </si>
  <si>
    <t>粗粉站生物质入厂量</t>
  </si>
  <si>
    <t>餐厨垃圾处置系统用电量</t>
  </si>
  <si>
    <t>示范园粗粉料出厂量</t>
  </si>
  <si>
    <t>餐厨垃圾处置系统用汽量</t>
  </si>
  <si>
    <t>粗粉站粗粉料出厂量</t>
  </si>
  <si>
    <t>餐厨垃圾处置系统用水量</t>
  </si>
  <si>
    <t>示范园标准有机肥产量</t>
  </si>
  <si>
    <t>厨余垃圾处置系统用电量</t>
  </si>
  <si>
    <t>示范园标准有机肥出厂量</t>
  </si>
  <si>
    <t>厨余垃圾处置系统用汽量</t>
  </si>
  <si>
    <t>示范园简易有机肥出厂量</t>
  </si>
  <si>
    <t>厨余垃圾处置系统用水量</t>
  </si>
  <si>
    <t>粗粉站简易有机肥出厂量</t>
  </si>
  <si>
    <t>主设备运行时间</t>
  </si>
  <si>
    <t>#1炉运行时间</t>
  </si>
  <si>
    <t>h</t>
  </si>
  <si>
    <t>营养土产量</t>
  </si>
  <si>
    <t>#2炉运行时间</t>
  </si>
  <si>
    <t>有机肥产量</t>
  </si>
  <si>
    <t>#3炉运行时间</t>
  </si>
  <si>
    <t>有机肥销售量</t>
  </si>
  <si>
    <t>#4炉运行时间</t>
  </si>
  <si>
    <t>有机肥库存量</t>
  </si>
  <si>
    <t>#5炉运行时间</t>
  </si>
  <si>
    <t>#6炉运行时间</t>
  </si>
  <si>
    <t>锅炉总运行小时数</t>
  </si>
  <si>
    <t>#1机运行时间</t>
  </si>
  <si>
    <t>#2机运行时间</t>
  </si>
  <si>
    <t>#3机运行时间</t>
  </si>
  <si>
    <t>#4机运行时间</t>
  </si>
  <si>
    <t>#5机运行时间</t>
  </si>
  <si>
    <t>#6机运行时间</t>
  </si>
  <si>
    <t>汽机总运行小时数</t>
  </si>
  <si>
    <t>主设备停运时间</t>
  </si>
  <si>
    <t>#1炉停运时间</t>
  </si>
  <si>
    <t>#2炉停运时间</t>
  </si>
  <si>
    <t>#3炉停运时间</t>
  </si>
  <si>
    <t>轻重渣产量</t>
  </si>
  <si>
    <t>#4炉停运时间</t>
  </si>
  <si>
    <t>发电机进气总量</t>
  </si>
  <si>
    <t>#5炉停运时间</t>
  </si>
  <si>
    <t>锅炉软化水用量</t>
  </si>
  <si>
    <t>#6炉停运时间</t>
  </si>
  <si>
    <t>有机浆液产量</t>
  </si>
  <si>
    <t>锅炉总停运小时数</t>
  </si>
  <si>
    <t>三相有机固渣产量</t>
  </si>
  <si>
    <r>
      <rPr>
        <sz val="10"/>
        <color rgb="FF000000"/>
        <rFont val="仿宋"/>
        <charset val="134"/>
      </rPr>
      <t>#1</t>
    </r>
    <r>
      <rPr>
        <sz val="10"/>
        <color rgb="FF000000"/>
        <rFont val="仿宋"/>
        <charset val="134"/>
      </rPr>
      <t>机停运时间</t>
    </r>
  </si>
  <si>
    <t>#2机停运时间</t>
  </si>
  <si>
    <t>#3机停运时间</t>
  </si>
  <si>
    <t>#4机停运时间</t>
  </si>
  <si>
    <t>#5机停运时间</t>
  </si>
  <si>
    <t>#6机停运时间</t>
  </si>
  <si>
    <t>汽机总停运小时数</t>
  </si>
  <si>
    <t>锅炉产汽量</t>
  </si>
  <si>
    <t>锅炉总产汽量</t>
  </si>
  <si>
    <t>#1炉产汽量</t>
  </si>
  <si>
    <t>#2炉产汽量</t>
  </si>
  <si>
    <t>#3炉产汽量</t>
  </si>
  <si>
    <t>#4炉产汽量</t>
  </si>
  <si>
    <t>#5炉产汽量</t>
  </si>
  <si>
    <t>#6炉产汽量</t>
  </si>
  <si>
    <t>汽机进汽量</t>
  </si>
  <si>
    <t>汽机总进汽量</t>
  </si>
  <si>
    <t>#1机进汽量</t>
  </si>
  <si>
    <t>#2机进汽量</t>
  </si>
  <si>
    <t>#3机进汽量</t>
  </si>
  <si>
    <t>#4机进汽量</t>
  </si>
  <si>
    <t>#5机进汽量</t>
  </si>
  <si>
    <t>#6机进汽量</t>
  </si>
  <si>
    <t>污泥</t>
  </si>
  <si>
    <t>污泥入厂量</t>
  </si>
  <si>
    <t>#1机停运时间</t>
  </si>
  <si>
    <t>污泥入炉总量</t>
  </si>
  <si>
    <t>污泥处置系统用电量</t>
  </si>
  <si>
    <t>污泥处置系统用汽量</t>
  </si>
  <si>
    <t>污泥处置系统用水量</t>
  </si>
  <si>
    <t>污泥外运量</t>
  </si>
  <si>
    <t>沼气</t>
  </si>
  <si>
    <t>沼气产量</t>
  </si>
  <si>
    <t>m3</t>
  </si>
  <si>
    <t>沼气发电消耗量</t>
  </si>
  <si>
    <t>沼气回炉燃烧量</t>
  </si>
  <si>
    <t>火炬消耗沼气量</t>
  </si>
  <si>
    <t>沼气对外销售量</t>
  </si>
  <si>
    <t>沼渣量</t>
  </si>
  <si>
    <t>沼渣产量</t>
  </si>
  <si>
    <t>沼液产量</t>
  </si>
  <si>
    <t>生产用水</t>
  </si>
  <si>
    <t>地表水入厂量</t>
  </si>
  <si>
    <t>中水入厂量</t>
  </si>
  <si>
    <t>自来水入厂量</t>
  </si>
  <si>
    <t>井水/地下水取水量</t>
  </si>
  <si>
    <t>除盐水补水量</t>
  </si>
  <si>
    <t>能源消耗</t>
  </si>
  <si>
    <t>天然气消耗总量</t>
  </si>
  <si>
    <t>启停炉用气量</t>
  </si>
  <si>
    <t>其他用气量</t>
  </si>
  <si>
    <t>柴油消耗总量</t>
  </si>
  <si>
    <t>启停炉用油量</t>
  </si>
  <si>
    <t>其他用油量</t>
  </si>
  <si>
    <t>生物质（助燃）耗量</t>
  </si>
  <si>
    <t>灰渣</t>
  </si>
  <si>
    <t>飞灰原灰产生量</t>
  </si>
  <si>
    <t>飞灰外运量</t>
  </si>
  <si>
    <t>炉渣外运量</t>
  </si>
  <si>
    <t>炉渣入厂量</t>
  </si>
  <si>
    <t>炉渣返厂量</t>
  </si>
  <si>
    <t>炉渣处置系统用电量</t>
  </si>
  <si>
    <t>炉渣处置系统用汽量</t>
  </si>
  <si>
    <t>炉渣处置系统用水量</t>
  </si>
  <si>
    <t>环保耗材消耗</t>
  </si>
  <si>
    <t>氢氧化钙消耗量</t>
  </si>
  <si>
    <t>氢氧化钠消耗量</t>
  </si>
  <si>
    <t>碳酸氢钠消耗量</t>
  </si>
  <si>
    <t>尿素消耗量</t>
  </si>
  <si>
    <t>氨水消耗量</t>
  </si>
  <si>
    <t>螯合剂消耗量</t>
  </si>
  <si>
    <t>活性炭消耗量</t>
  </si>
  <si>
    <t>水泥消耗量（飞灰固化）</t>
  </si>
  <si>
    <t>高分子脱硝剂耗量</t>
  </si>
  <si>
    <t>耗材入厂</t>
  </si>
  <si>
    <t>氢氧化钙入厂量</t>
  </si>
  <si>
    <t>氢氧化钙纯度</t>
  </si>
  <si>
    <t>氢氧化钙目数</t>
  </si>
  <si>
    <t>目</t>
  </si>
  <si>
    <t>氢氧化钙目数对应通过率</t>
  </si>
  <si>
    <t>氢氧化钠固体入厂量</t>
  </si>
  <si>
    <t>氢氧化钠溶液入厂量</t>
  </si>
  <si>
    <t>氢氧化钠溶液浓度</t>
  </si>
  <si>
    <t>碳酸氢钠入厂量</t>
  </si>
  <si>
    <t>螯合剂入厂量</t>
  </si>
  <si>
    <t>尿素颗粒入厂量</t>
  </si>
  <si>
    <t>尿素溶液入厂量</t>
  </si>
  <si>
    <t>尿素溶液浓度</t>
  </si>
  <si>
    <t>氨水入厂量</t>
  </si>
  <si>
    <t>氨水浓度</t>
  </si>
  <si>
    <t>活性炭入厂量</t>
  </si>
  <si>
    <t>活性炭碘值</t>
  </si>
  <si>
    <t>无量纲</t>
  </si>
  <si>
    <t>活性炭水分</t>
  </si>
  <si>
    <t>燃油入厂量</t>
  </si>
  <si>
    <t>水泥入厂量（飞灰固化）</t>
  </si>
  <si>
    <t>高分子脱硝剂入厂量</t>
  </si>
  <si>
    <t>生物质（助燃）入厂量</t>
  </si>
  <si>
    <t>生物质柴油入厂量</t>
  </si>
  <si>
    <t>稀硫酸用量</t>
  </si>
  <si>
    <t>动物无害化</t>
  </si>
  <si>
    <t>动物无害化入厂量（牛）</t>
  </si>
  <si>
    <t>头</t>
  </si>
  <si>
    <t>盐酸用量</t>
  </si>
  <si>
    <t>动物无害化入厂量（猪）</t>
  </si>
  <si>
    <t>次氯酸钠用量</t>
  </si>
  <si>
    <t>动物无害化入厂量（禽类）</t>
  </si>
  <si>
    <t>PAC用量</t>
  </si>
  <si>
    <t>动物无害化入厂量合计</t>
  </si>
  <si>
    <t>PAM用量</t>
  </si>
  <si>
    <t>无害化残渣产量</t>
  </si>
  <si>
    <t>硫酸亚铁用量</t>
  </si>
  <si>
    <t>无害化动物油脂产量</t>
  </si>
  <si>
    <t>柠檬酸用量</t>
  </si>
  <si>
    <t>动物无害化处置系统用电量</t>
  </si>
  <si>
    <t>营养液用量</t>
  </si>
  <si>
    <t>动物无害化处置系统用汽量</t>
  </si>
  <si>
    <t>杀菌剂用量</t>
  </si>
  <si>
    <t>动物无害化处置系统用水量</t>
  </si>
  <si>
    <t>水处理还原剂用量</t>
  </si>
  <si>
    <t>锅炉给水</t>
  </si>
  <si>
    <t>锅炉总给水量</t>
  </si>
  <si>
    <t>葡萄糖用量</t>
  </si>
  <si>
    <t>#1炉给水量</t>
  </si>
  <si>
    <t>碳源用量</t>
  </si>
  <si>
    <t>#2炉给水量</t>
  </si>
  <si>
    <t>液氧用量</t>
  </si>
  <si>
    <t>#3炉给水量</t>
  </si>
  <si>
    <t>碳酸钠用量</t>
  </si>
  <si>
    <t>#4炉给水量</t>
  </si>
  <si>
    <t>三氯化铁用量</t>
  </si>
  <si>
    <t>#5炉给水量</t>
  </si>
  <si>
    <t>消泡剂用量</t>
  </si>
  <si>
    <t>#6炉给水量</t>
  </si>
  <si>
    <t>植物液用量</t>
  </si>
  <si>
    <t>建筑垃圾</t>
  </si>
  <si>
    <t>建筑垃圾入厂量</t>
  </si>
  <si>
    <t>工业盐用量</t>
  </si>
  <si>
    <t>大件垃圾入厂量</t>
  </si>
  <si>
    <t>树脂用量</t>
  </si>
  <si>
    <t>建筑垃圾用电量</t>
  </si>
  <si>
    <t>三氧化二铁用量</t>
  </si>
  <si>
    <t>建筑垃圾用水量</t>
  </si>
  <si>
    <t>阻垢剂用量</t>
  </si>
  <si>
    <t>建筑垃圾粗料</t>
  </si>
  <si>
    <t>草酸用量</t>
  </si>
  <si>
    <t>建筑垃圾细料</t>
  </si>
  <si>
    <t>氢氧化钠用量</t>
  </si>
  <si>
    <t>建筑垃圾粉料</t>
  </si>
  <si>
    <t>复合肥用量</t>
  </si>
  <si>
    <t>餐厨厨余-有机</t>
  </si>
  <si>
    <t>吨</t>
  </si>
  <si>
    <t>尿素用量</t>
  </si>
  <si>
    <t>Nm3</t>
  </si>
  <si>
    <t>酒糟</t>
  </si>
  <si>
    <t>酒糟入厂量</t>
  </si>
  <si>
    <t>废水入厂量</t>
  </si>
  <si>
    <t>雨排水产生量</t>
  </si>
  <si>
    <t>锅炉再生反洗水量</t>
  </si>
  <si>
    <t>酒糟处理量</t>
  </si>
  <si>
    <t>废水处理量</t>
  </si>
  <si>
    <t>污泥-有机</t>
  </si>
  <si>
    <t>热水解消耗蒸汽量</t>
  </si>
  <si>
    <t>热水解处理总量</t>
  </si>
  <si>
    <t>热水解消耗稀释水量</t>
  </si>
  <si>
    <t>热水解总产泥量</t>
  </si>
  <si>
    <t>厌氧进料总量</t>
  </si>
  <si>
    <t>离心进料总量</t>
  </si>
  <si>
    <t>干化进料总量</t>
  </si>
  <si>
    <t>干化出泥总量</t>
  </si>
  <si>
    <t>高效脱氮池进水量</t>
  </si>
  <si>
    <t>清水池排水量</t>
  </si>
  <si>
    <t>农林废弃物-有机</t>
  </si>
  <si>
    <t>生产污水排放量</t>
  </si>
  <si>
    <t>药剂消耗-有机</t>
  </si>
  <si>
    <t>污水排放</t>
  </si>
  <si>
    <t>**公司生产日报表</t>
  </si>
  <si>
    <t>标红指标不能直接加和</t>
  </si>
  <si>
    <t>单位</t>
  </si>
  <si>
    <t>月累计</t>
  </si>
  <si>
    <t xml:space="preserve">  公司 2025 年生产分析汇总表</t>
  </si>
  <si>
    <t>为直接取月度总和数据</t>
  </si>
  <si>
    <t>取自系统其他基础表</t>
  </si>
  <si>
    <t>无颜色的为计算得出的值</t>
  </si>
  <si>
    <t>指标</t>
  </si>
  <si>
    <t>项目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</si>
  <si>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</si>
  <si>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</si>
  <si>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</si>
  <si>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</si>
  <si>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</si>
  <si>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</si>
  <si>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</si>
  <si>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</si>
  <si>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</si>
  <si>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</si>
  <si>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</si>
  <si>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</si>
  <si>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年度累计</t>
  </si>
  <si>
    <t>当月</t>
  </si>
  <si>
    <t>动物无害化计入有机、建筑垃圾计入有机</t>
  </si>
  <si>
    <t>公式</t>
  </si>
  <si>
    <t>处理规模</t>
  </si>
  <si>
    <t>汽轮机台数</t>
  </si>
  <si>
    <t>台</t>
  </si>
  <si>
    <t>汽轮机装机</t>
  </si>
  <si>
    <r>
      <rPr>
        <sz val="9"/>
        <rFont val="宋体"/>
        <charset val="134"/>
      </rPr>
      <t>万</t>
    </r>
    <r>
      <rPr>
        <sz val="9"/>
        <rFont val="Times New Roman"/>
        <charset val="134"/>
      </rPr>
      <t>KW</t>
    </r>
  </si>
  <si>
    <t>设计总进汽量</t>
  </si>
  <si>
    <r>
      <rPr>
        <sz val="9"/>
        <rFont val="宋体"/>
        <charset val="134"/>
      </rPr>
      <t>吨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时</t>
    </r>
  </si>
  <si>
    <t>焚烧炉台数</t>
  </si>
  <si>
    <r>
      <rPr>
        <sz val="9"/>
        <rFont val="宋体"/>
        <charset val="134"/>
      </rPr>
      <t>吨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天</t>
    </r>
  </si>
  <si>
    <t>设计总蒸发量</t>
  </si>
  <si>
    <t>吨/时</t>
  </si>
  <si>
    <t>折标系数</t>
  </si>
  <si>
    <t>/</t>
  </si>
  <si>
    <r>
      <rPr>
        <sz val="9"/>
        <rFont val="宋体"/>
        <charset val="134"/>
      </rPr>
      <t>电量指标（供汽供热</t>
    </r>
    <r>
      <rPr>
        <sz val="9"/>
        <color rgb="FFFF0000"/>
        <rFont val="宋体"/>
        <charset val="134"/>
      </rPr>
      <t>不折电</t>
    </r>
    <r>
      <rPr>
        <sz val="9"/>
        <rFont val="宋体"/>
        <charset val="134"/>
      </rPr>
      <t>）</t>
    </r>
  </si>
  <si>
    <t>总发电量</t>
  </si>
  <si>
    <t>万度</t>
  </si>
  <si>
    <t>上网电量</t>
  </si>
  <si>
    <t>下网电量</t>
  </si>
  <si>
    <t>厂用电量</t>
  </si>
  <si>
    <t>日均发电量</t>
  </si>
  <si>
    <t>万度/天</t>
  </si>
  <si>
    <t>发电负荷率</t>
  </si>
  <si>
    <t>日均上网电量</t>
  </si>
  <si>
    <t>吨入厂发电量</t>
  </si>
  <si>
    <r>
      <rPr>
        <sz val="9"/>
        <color theme="1"/>
        <rFont val="宋体"/>
        <charset val="134"/>
      </rPr>
      <t>度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吨</t>
    </r>
  </si>
  <si>
    <t>吨入厂上网电量</t>
  </si>
  <si>
    <t>吨入炉垃圾发电量</t>
  </si>
  <si>
    <r>
      <rPr>
        <sz val="9"/>
        <rFont val="宋体"/>
        <charset val="134"/>
      </rPr>
      <t>度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吨</t>
    </r>
  </si>
  <si>
    <t>吨入炉垃圾上网电量</t>
  </si>
  <si>
    <r>
      <rPr>
        <sz val="9"/>
        <rFont val="宋体"/>
        <charset val="134"/>
      </rPr>
      <t>电量指标（供汽供热</t>
    </r>
    <r>
      <rPr>
        <sz val="9"/>
        <color rgb="FFFF0000"/>
        <rFont val="宋体"/>
        <charset val="134"/>
      </rPr>
      <t>折电</t>
    </r>
    <r>
      <rPr>
        <sz val="9"/>
        <rFont val="宋体"/>
        <charset val="134"/>
      </rPr>
      <t>）</t>
    </r>
  </si>
  <si>
    <t>发电量（折算）</t>
  </si>
  <si>
    <t>上网电量（折算）</t>
  </si>
  <si>
    <t>厂用电率（折算）</t>
  </si>
  <si>
    <t>吨入厂垃圾发电量（折算）</t>
  </si>
  <si>
    <t>吨入厂垃圾上网电量（折算）</t>
  </si>
  <si>
    <t>吨入炉垃圾发电量（折算）</t>
  </si>
  <si>
    <t>吨入炉垃圾上网电量（折算）</t>
  </si>
  <si>
    <t>供汽总量</t>
  </si>
  <si>
    <t>供热总量</t>
  </si>
  <si>
    <t>吉焦</t>
  </si>
  <si>
    <t>日均供汽量</t>
  </si>
  <si>
    <t>时均供汽量</t>
  </si>
  <si>
    <t>对外供热所需蒸汽量</t>
  </si>
  <si>
    <r>
      <rPr>
        <sz val="9"/>
        <color theme="1"/>
        <rFont val="宋体"/>
        <charset val="134"/>
      </rPr>
      <t>对外供汽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供热回水量</t>
    </r>
  </si>
  <si>
    <t>生活垃圾入厂总量</t>
  </si>
  <si>
    <t>生活垃圾入炉总量</t>
  </si>
  <si>
    <t>日均生活垃圾入厂量</t>
  </si>
  <si>
    <t>日均生活垃圾入炉量</t>
  </si>
  <si>
    <t>生活垃圾入厂率</t>
  </si>
  <si>
    <t>生活垃圾入炉率</t>
  </si>
  <si>
    <t>掺烧比</t>
  </si>
  <si>
    <t>生物质入厂总量</t>
  </si>
  <si>
    <t>生物质入炉总量</t>
  </si>
  <si>
    <t>日均生物质入厂量</t>
  </si>
  <si>
    <t>日均生物质入炉量</t>
  </si>
  <si>
    <t>餐厨、厨余、地沟油</t>
  </si>
  <si>
    <t>餐厨入厂总量</t>
  </si>
  <si>
    <t>日均餐厨入厂量</t>
  </si>
  <si>
    <t>日均厨余垃圾入厂量</t>
  </si>
  <si>
    <t>日均地沟油入厂量</t>
  </si>
  <si>
    <t>粗油脂产量(餐厨）</t>
  </si>
  <si>
    <t>提油率（餐厨）</t>
  </si>
  <si>
    <t>提油率（地沟油）</t>
  </si>
  <si>
    <t>粗油脂总产量</t>
  </si>
  <si>
    <t>餐厨厨余处置系统用汽量</t>
  </si>
  <si>
    <t>餐厨厨余处置系统用水量</t>
  </si>
  <si>
    <t>污泥入厂总量</t>
  </si>
  <si>
    <t>日均污泥入厂量</t>
  </si>
  <si>
    <r>
      <rPr>
        <sz val="9"/>
        <color theme="1"/>
        <rFont val="宋体"/>
        <charset val="134"/>
      </rPr>
      <t>固废处理总量（生活垃圾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餐厨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厨余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污泥）</t>
    </r>
  </si>
  <si>
    <t>锅炉运行时间</t>
  </si>
  <si>
    <r>
      <rPr>
        <sz val="9"/>
        <rFont val="Times New Roman"/>
        <charset val="134"/>
      </rPr>
      <t>#1</t>
    </r>
    <r>
      <rPr>
        <sz val="9"/>
        <rFont val="宋体"/>
        <charset val="134"/>
      </rPr>
      <t>炉运行时间</t>
    </r>
  </si>
  <si>
    <t>小时</t>
  </si>
  <si>
    <r>
      <rPr>
        <sz val="9"/>
        <rFont val="Times New Roman"/>
        <charset val="134"/>
      </rPr>
      <t>#2</t>
    </r>
    <r>
      <rPr>
        <sz val="9"/>
        <rFont val="宋体"/>
        <charset val="134"/>
      </rPr>
      <t>炉运行时间</t>
    </r>
  </si>
  <si>
    <r>
      <rPr>
        <sz val="9"/>
        <rFont val="Times New Roman"/>
        <charset val="134"/>
      </rPr>
      <t>#3</t>
    </r>
    <r>
      <rPr>
        <sz val="9"/>
        <rFont val="宋体"/>
        <charset val="134"/>
      </rPr>
      <t>炉运行时间</t>
    </r>
  </si>
  <si>
    <r>
      <rPr>
        <sz val="9"/>
        <rFont val="Times New Roman"/>
        <charset val="134"/>
      </rPr>
      <t>#4</t>
    </r>
    <r>
      <rPr>
        <sz val="9"/>
        <rFont val="宋体"/>
        <charset val="134"/>
      </rPr>
      <t>炉运行时间</t>
    </r>
  </si>
  <si>
    <r>
      <rPr>
        <sz val="9"/>
        <rFont val="Times New Roman"/>
        <charset val="134"/>
      </rPr>
      <t>#5</t>
    </r>
    <r>
      <rPr>
        <sz val="9"/>
        <rFont val="宋体"/>
        <charset val="134"/>
      </rPr>
      <t>炉运行时间</t>
    </r>
  </si>
  <si>
    <r>
      <rPr>
        <sz val="9"/>
        <rFont val="Times New Roman"/>
        <charset val="134"/>
      </rPr>
      <t>#6</t>
    </r>
    <r>
      <rPr>
        <sz val="9"/>
        <rFont val="宋体"/>
        <charset val="134"/>
      </rPr>
      <t>炉运行时间</t>
    </r>
  </si>
  <si>
    <t>锅炉总运行时间</t>
  </si>
  <si>
    <t>锅炉平均运行小时数</t>
  </si>
  <si>
    <t>小时/台</t>
  </si>
  <si>
    <t>锅炉停运时间</t>
  </si>
  <si>
    <r>
      <rPr>
        <sz val="9"/>
        <rFont val="Times New Roman"/>
        <charset val="134"/>
      </rPr>
      <t>#1</t>
    </r>
    <r>
      <rPr>
        <sz val="9"/>
        <rFont val="宋体"/>
        <charset val="134"/>
      </rPr>
      <t>炉停运时间</t>
    </r>
  </si>
  <si>
    <r>
      <rPr>
        <sz val="9"/>
        <rFont val="Times New Roman"/>
        <charset val="134"/>
      </rPr>
      <t>#2</t>
    </r>
    <r>
      <rPr>
        <sz val="9"/>
        <rFont val="宋体"/>
        <charset val="134"/>
      </rPr>
      <t>炉停运时间</t>
    </r>
  </si>
  <si>
    <r>
      <rPr>
        <sz val="9"/>
        <rFont val="Times New Roman"/>
        <charset val="134"/>
      </rPr>
      <t>#3</t>
    </r>
    <r>
      <rPr>
        <sz val="9"/>
        <rFont val="宋体"/>
        <charset val="134"/>
      </rPr>
      <t>炉停运时间</t>
    </r>
  </si>
  <si>
    <r>
      <rPr>
        <sz val="9"/>
        <rFont val="Times New Roman"/>
        <charset val="134"/>
      </rPr>
      <t>#4</t>
    </r>
    <r>
      <rPr>
        <sz val="9"/>
        <rFont val="宋体"/>
        <charset val="134"/>
      </rPr>
      <t>炉停运时间</t>
    </r>
  </si>
  <si>
    <r>
      <rPr>
        <sz val="9"/>
        <rFont val="Times New Roman"/>
        <charset val="134"/>
      </rPr>
      <t>#5</t>
    </r>
    <r>
      <rPr>
        <sz val="9"/>
        <rFont val="宋体"/>
        <charset val="134"/>
      </rPr>
      <t>炉停运时间</t>
    </r>
  </si>
  <si>
    <r>
      <rPr>
        <sz val="9"/>
        <rFont val="Times New Roman"/>
        <charset val="134"/>
      </rPr>
      <t>#6</t>
    </r>
    <r>
      <rPr>
        <sz val="9"/>
        <rFont val="宋体"/>
        <charset val="134"/>
      </rPr>
      <t>炉停运时间</t>
    </r>
  </si>
  <si>
    <t>锅炉总停运时间</t>
  </si>
  <si>
    <t>锅炉平均停运小时数</t>
  </si>
  <si>
    <r>
      <rPr>
        <sz val="9"/>
        <rFont val="宋体"/>
        <charset val="134"/>
      </rPr>
      <t>小时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台</t>
    </r>
  </si>
  <si>
    <t>汽机运行时间</t>
  </si>
  <si>
    <r>
      <rPr>
        <sz val="9"/>
        <rFont val="Times New Roman"/>
        <charset val="134"/>
      </rPr>
      <t>#1</t>
    </r>
    <r>
      <rPr>
        <sz val="9"/>
        <rFont val="宋体"/>
        <charset val="134"/>
      </rPr>
      <t>机运行时间</t>
    </r>
  </si>
  <si>
    <r>
      <rPr>
        <sz val="9"/>
        <rFont val="Times New Roman"/>
        <charset val="134"/>
      </rPr>
      <t>#2</t>
    </r>
    <r>
      <rPr>
        <sz val="9"/>
        <rFont val="宋体"/>
        <charset val="134"/>
      </rPr>
      <t>机运行时间</t>
    </r>
  </si>
  <si>
    <r>
      <rPr>
        <sz val="9"/>
        <rFont val="Times New Roman"/>
        <charset val="134"/>
      </rPr>
      <t>#3</t>
    </r>
    <r>
      <rPr>
        <sz val="9"/>
        <rFont val="宋体"/>
        <charset val="134"/>
      </rPr>
      <t>机运行时间</t>
    </r>
  </si>
  <si>
    <r>
      <rPr>
        <sz val="9"/>
        <rFont val="Times New Roman"/>
        <charset val="134"/>
      </rPr>
      <t>#4</t>
    </r>
    <r>
      <rPr>
        <sz val="9"/>
        <rFont val="宋体"/>
        <charset val="134"/>
      </rPr>
      <t>机运行时间</t>
    </r>
  </si>
  <si>
    <r>
      <rPr>
        <sz val="9"/>
        <rFont val="Times New Roman"/>
        <charset val="134"/>
      </rPr>
      <t>#5</t>
    </r>
    <r>
      <rPr>
        <sz val="9"/>
        <rFont val="宋体"/>
        <charset val="134"/>
      </rPr>
      <t>机运行时间</t>
    </r>
  </si>
  <si>
    <r>
      <rPr>
        <sz val="9"/>
        <rFont val="Times New Roman"/>
        <charset val="134"/>
      </rPr>
      <t>#6</t>
    </r>
    <r>
      <rPr>
        <sz val="9"/>
        <rFont val="宋体"/>
        <charset val="134"/>
      </rPr>
      <t>机运行时间</t>
    </r>
  </si>
  <si>
    <t>汽机总运行时间</t>
  </si>
  <si>
    <t>汽机平均运行小时数</t>
  </si>
  <si>
    <t>汽机停运时间</t>
  </si>
  <si>
    <r>
      <rPr>
        <sz val="9"/>
        <rFont val="Times New Roman"/>
        <charset val="134"/>
      </rPr>
      <t>#1</t>
    </r>
    <r>
      <rPr>
        <sz val="9"/>
        <rFont val="宋体"/>
        <charset val="134"/>
      </rPr>
      <t>机停运时间</t>
    </r>
  </si>
  <si>
    <r>
      <rPr>
        <sz val="9"/>
        <rFont val="Times New Roman"/>
        <charset val="134"/>
      </rPr>
      <t>#2</t>
    </r>
    <r>
      <rPr>
        <sz val="9"/>
        <rFont val="宋体"/>
        <charset val="134"/>
      </rPr>
      <t>机停运时间</t>
    </r>
  </si>
  <si>
    <r>
      <rPr>
        <sz val="9"/>
        <rFont val="Times New Roman"/>
        <charset val="134"/>
      </rPr>
      <t>#3</t>
    </r>
    <r>
      <rPr>
        <sz val="9"/>
        <rFont val="宋体"/>
        <charset val="134"/>
      </rPr>
      <t>机停运时间</t>
    </r>
  </si>
  <si>
    <r>
      <rPr>
        <sz val="9"/>
        <rFont val="Times New Roman"/>
        <charset val="134"/>
      </rPr>
      <t>#4</t>
    </r>
    <r>
      <rPr>
        <sz val="9"/>
        <rFont val="宋体"/>
        <charset val="134"/>
      </rPr>
      <t>机停运时间</t>
    </r>
  </si>
  <si>
    <r>
      <rPr>
        <sz val="9"/>
        <rFont val="Times New Roman"/>
        <charset val="134"/>
      </rPr>
      <t>#5</t>
    </r>
    <r>
      <rPr>
        <sz val="9"/>
        <rFont val="宋体"/>
        <charset val="134"/>
      </rPr>
      <t>机停运时间</t>
    </r>
  </si>
  <si>
    <r>
      <rPr>
        <sz val="9"/>
        <rFont val="Times New Roman"/>
        <charset val="134"/>
      </rPr>
      <t>#6</t>
    </r>
    <r>
      <rPr>
        <sz val="9"/>
        <rFont val="宋体"/>
        <charset val="134"/>
      </rPr>
      <t>机停运时间</t>
    </r>
  </si>
  <si>
    <t>汽机总停运时间</t>
  </si>
  <si>
    <t>汽机平均停运小时数</t>
  </si>
  <si>
    <t>总产汽量</t>
  </si>
  <si>
    <t>运行产汽负荷率</t>
  </si>
  <si>
    <t>平均产汽负荷率</t>
  </si>
  <si>
    <t>总进汽量</t>
  </si>
  <si>
    <t>平均进汽负荷率</t>
  </si>
  <si>
    <r>
      <rPr>
        <sz val="9"/>
        <rFont val="宋体"/>
        <charset val="134"/>
      </rPr>
      <t>效率指标（供汽供热</t>
    </r>
    <r>
      <rPr>
        <sz val="9"/>
        <color rgb="FFFF0000"/>
        <rFont val="宋体"/>
        <charset val="134"/>
      </rPr>
      <t>不折电</t>
    </r>
    <r>
      <rPr>
        <sz val="9"/>
        <rFont val="宋体"/>
        <charset val="134"/>
      </rPr>
      <t>）</t>
    </r>
  </si>
  <si>
    <t>焚烧炉等效利用率</t>
  </si>
  <si>
    <t>余热炉等效利用率</t>
  </si>
  <si>
    <t>吨入炉垃圾产汽量</t>
  </si>
  <si>
    <r>
      <rPr>
        <sz val="9"/>
        <rFont val="宋体"/>
        <charset val="134"/>
      </rPr>
      <t>吨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吨</t>
    </r>
  </si>
  <si>
    <t>等效利用小时数</t>
  </si>
  <si>
    <t>平均汽耗率</t>
  </si>
  <si>
    <t>kg/kw·h</t>
  </si>
  <si>
    <t>平均利用小时数（集团）</t>
  </si>
  <si>
    <t>度/吨</t>
  </si>
  <si>
    <t>效率指标（供汽供热折电）</t>
  </si>
  <si>
    <t>等效利用小时数（折算）</t>
  </si>
  <si>
    <t>平均汽耗率（折算）</t>
  </si>
  <si>
    <t>平均利用小时数（折算）</t>
  </si>
  <si>
    <t>灰渣指标</t>
  </si>
  <si>
    <t>炉渣产生量</t>
  </si>
  <si>
    <t>炉渣产生率</t>
  </si>
  <si>
    <t>飞灰原灰产生率</t>
  </si>
  <si>
    <t>渗滤液</t>
  </si>
  <si>
    <t>渗滤液产生量</t>
  </si>
  <si>
    <t>渗滤液产生率</t>
  </si>
  <si>
    <t>渗滤液处理量</t>
  </si>
  <si>
    <t>渗滤液入厂量</t>
  </si>
  <si>
    <t>沼气沼液</t>
  </si>
  <si>
    <t>立方米</t>
  </si>
  <si>
    <t>沼气日均产量</t>
  </si>
  <si>
    <r>
      <rPr>
        <sz val="9"/>
        <rFont val="宋体"/>
        <charset val="134"/>
      </rPr>
      <t>立方米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天</t>
    </r>
  </si>
  <si>
    <t>环保耗材</t>
  </si>
  <si>
    <t>高分子脱硝剂消耗量</t>
  </si>
  <si>
    <t>高分子脱硝剂单耗</t>
  </si>
  <si>
    <r>
      <rPr>
        <sz val="9"/>
        <rFont val="宋体"/>
        <charset val="134"/>
      </rPr>
      <t>公斤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吨</t>
    </r>
  </si>
  <si>
    <t>消石灰消耗量</t>
  </si>
  <si>
    <t>消石灰单耗</t>
  </si>
  <si>
    <t>尿素单耗</t>
  </si>
  <si>
    <t>氨水单耗</t>
  </si>
  <si>
    <t>活性炭单耗</t>
  </si>
  <si>
    <t>螯合剂添加比例（占原灰）</t>
  </si>
  <si>
    <t>水泥消耗量</t>
  </si>
  <si>
    <t>氢氧化钠单耗</t>
  </si>
  <si>
    <t>碳酸氢钠单耗</t>
  </si>
  <si>
    <t>辅助燃料</t>
  </si>
  <si>
    <t>天然气消耗量</t>
  </si>
  <si>
    <t>其中：启停炉用气量</t>
  </si>
  <si>
    <t>天然气单耗</t>
  </si>
  <si>
    <r>
      <rPr>
        <sz val="9"/>
        <rFont val="宋体"/>
        <charset val="134"/>
      </rPr>
      <t>立方米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吨</t>
    </r>
  </si>
  <si>
    <t>柴油消耗量</t>
  </si>
  <si>
    <t>其中：启停炉用油量</t>
  </si>
  <si>
    <t>柴油单耗</t>
  </si>
  <si>
    <t>水量</t>
  </si>
  <si>
    <r>
      <rPr>
        <sz val="9"/>
        <color indexed="8"/>
        <rFont val="宋体"/>
        <charset val="134"/>
      </rPr>
      <t>井水</t>
    </r>
    <r>
      <rPr>
        <sz val="9"/>
        <color indexed="8"/>
        <rFont val="Times New Roman"/>
        <charset val="134"/>
      </rPr>
      <t>/</t>
    </r>
    <r>
      <rPr>
        <sz val="9"/>
        <color indexed="8"/>
        <rFont val="宋体"/>
        <charset val="134"/>
      </rPr>
      <t>地下水取水量</t>
    </r>
  </si>
  <si>
    <t>取水总量</t>
  </si>
  <si>
    <t>吨入厂垃圾取水量</t>
  </si>
  <si>
    <r>
      <rPr>
        <sz val="9"/>
        <color indexed="8"/>
        <rFont val="宋体"/>
        <charset val="134"/>
      </rPr>
      <t>吨</t>
    </r>
    <r>
      <rPr>
        <sz val="9"/>
        <color indexed="8"/>
        <rFont val="Times New Roman"/>
        <charset val="134"/>
      </rPr>
      <t>/</t>
    </r>
    <r>
      <rPr>
        <sz val="9"/>
        <color indexed="8"/>
        <rFont val="宋体"/>
        <charset val="134"/>
      </rPr>
      <t>吨</t>
    </r>
  </si>
  <si>
    <t>除盐水补水率</t>
  </si>
  <si>
    <t>耗材进厂量及主要参数</t>
  </si>
  <si>
    <r>
      <rPr>
        <sz val="9"/>
        <rFont val="Times New Roman"/>
        <charset val="134"/>
      </rPr>
      <t>#1</t>
    </r>
    <r>
      <rPr>
        <sz val="9"/>
        <rFont val="宋体"/>
        <charset val="134"/>
      </rPr>
      <t>炉给水量</t>
    </r>
  </si>
  <si>
    <r>
      <rPr>
        <sz val="9"/>
        <rFont val="Times New Roman"/>
        <charset val="134"/>
      </rPr>
      <t>#2</t>
    </r>
    <r>
      <rPr>
        <sz val="9"/>
        <rFont val="宋体"/>
        <charset val="134"/>
      </rPr>
      <t>炉给水量</t>
    </r>
  </si>
  <si>
    <r>
      <rPr>
        <sz val="9"/>
        <rFont val="Times New Roman"/>
        <charset val="134"/>
      </rPr>
      <t>#3</t>
    </r>
    <r>
      <rPr>
        <sz val="9"/>
        <rFont val="宋体"/>
        <charset val="134"/>
      </rPr>
      <t>炉给水量</t>
    </r>
  </si>
  <si>
    <r>
      <rPr>
        <sz val="9"/>
        <rFont val="Times New Roman"/>
        <charset val="134"/>
      </rPr>
      <t>#4</t>
    </r>
    <r>
      <rPr>
        <sz val="9"/>
        <rFont val="宋体"/>
        <charset val="134"/>
      </rPr>
      <t>炉给水量</t>
    </r>
  </si>
  <si>
    <r>
      <rPr>
        <sz val="9"/>
        <rFont val="Times New Roman"/>
        <charset val="134"/>
      </rPr>
      <t>#5</t>
    </r>
    <r>
      <rPr>
        <sz val="9"/>
        <rFont val="宋体"/>
        <charset val="134"/>
      </rPr>
      <t>炉给水量</t>
    </r>
  </si>
  <si>
    <r>
      <rPr>
        <sz val="9"/>
        <rFont val="Times New Roman"/>
        <charset val="134"/>
      </rPr>
      <t>#6</t>
    </r>
    <r>
      <rPr>
        <sz val="9"/>
        <rFont val="宋体"/>
        <charset val="134"/>
      </rPr>
      <t>炉给水量</t>
    </r>
  </si>
  <si>
    <t>指标分类</t>
  </si>
  <si>
    <t>新指标编码后四位（黄色区域指标与生产日指标为重合指标）</t>
  </si>
  <si>
    <t>瑞科际再生能源股份有限公司</t>
  </si>
  <si>
    <t>中节能（沣西）生态环保有限公司</t>
  </si>
  <si>
    <t>中节能（莆田）再生资源利用有限公司</t>
  </si>
  <si>
    <t>中节能（西安）生态环保有限公司</t>
  </si>
  <si>
    <t>中节能（嘉鱼）环保能源有限公司</t>
  </si>
  <si>
    <t>中节能（毕节）环保生态有限公司</t>
  </si>
  <si>
    <t>中节能生态桥（北京）环保有限公司</t>
  </si>
  <si>
    <t>中节能绿碳（遵义）环保有限公司</t>
  </si>
  <si>
    <t>废弃油脂入厂量</t>
  </si>
  <si>
    <t>餐厨产粗油脂量</t>
  </si>
  <si>
    <t>废弃油脂产粗油脂量</t>
  </si>
  <si>
    <t>总发电量（计算录入？）</t>
  </si>
  <si>
    <t>总用电量（计算录入？）</t>
  </si>
  <si>
    <t>蒸汽产量</t>
  </si>
  <si>
    <t>中水用量</t>
  </si>
  <si>
    <t>自来水用量</t>
  </si>
  <si>
    <t>柴油用量（计算录入？）</t>
  </si>
  <si>
    <t>沼液产生量</t>
  </si>
  <si>
    <t>沣西</t>
  </si>
  <si>
    <t>莆田</t>
  </si>
  <si>
    <t>西安生态</t>
  </si>
  <si>
    <t>嘉鱼</t>
  </si>
  <si>
    <t>毕节生态</t>
  </si>
  <si>
    <t>遵义</t>
  </si>
  <si>
    <t>项目名称</t>
  </si>
  <si>
    <t>总用电量</t>
  </si>
  <si>
    <t>有机固渣产量</t>
  </si>
  <si>
    <t>沼气处理量</t>
  </si>
  <si>
    <t>柴油用量</t>
  </si>
  <si>
    <t>尿素用量（尿素消耗量）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</si>
</sst>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;\(0.000\);#"/>
    <numFmt numFmtId="177" formatCode="0.00;\(0.00\);#"/>
    <numFmt numFmtId="178" formatCode="0_);[Red]\(0\)"/>
    <numFmt numFmtId="179" formatCode="0_ "/>
    <numFmt numFmtId="180" formatCode="0.0_ "/>
    <numFmt numFmtId="181" formatCode="0.00_ "/>
  </numFmts>
  <fonts count="54">
    <font>
      <sz val="11"/>
      <color theme="1"/>
      <name val="宋体"/>
      <charset val="134"/>
      <scheme val="minor"/>
    </font>
    <font>
      <sz val="10"/>
      <color rgb="FF000000"/>
      <name val="Arial"/>
      <charset val="134"/>
    </font>
    <font>
      <b/>
      <sz val="16"/>
      <color rgb="FF000000"/>
      <name val="宋体"/>
      <charset val="134"/>
    </font>
    <font>
      <b/>
      <sz val="12"/>
      <color rgb="FF000000"/>
      <name val="宋体"/>
      <charset val="134"/>
    </font>
    <font>
      <b/>
      <sz val="12"/>
      <color rgb="FFFF0000"/>
      <name val="宋体"/>
      <charset val="134"/>
    </font>
    <font>
      <sz val="9"/>
      <color rgb="FF000000"/>
      <name val="宋体"/>
      <charset val="134"/>
    </font>
    <font>
      <sz val="11"/>
      <color theme="1"/>
      <name val="仿宋_GB2312"/>
      <charset val="134"/>
    </font>
    <font>
      <sz val="11"/>
      <color rgb="FFFF0000"/>
      <name val="仿宋_GB2312"/>
      <charset val="134"/>
    </font>
    <font>
      <sz val="11"/>
      <color theme="1"/>
      <name val="宋体"/>
      <charset val="134"/>
    </font>
    <font>
      <sz val="10"/>
      <name val="仿宋"/>
      <charset val="0"/>
    </font>
    <font>
      <sz val="10"/>
      <color rgb="FF000000"/>
      <name val="仿宋"/>
      <charset val="134"/>
    </font>
    <font>
      <b/>
      <sz val="20"/>
      <name val="宋体"/>
      <charset val="134"/>
    </font>
    <font>
      <b/>
      <sz val="12"/>
      <name val="宋体"/>
      <charset val="134"/>
    </font>
    <font>
      <sz val="9"/>
      <name val="宋体"/>
      <charset val="134"/>
    </font>
    <font>
      <sz val="9"/>
      <color theme="1"/>
      <name val="Times New Roman"/>
      <charset val="134"/>
    </font>
    <font>
      <sz val="9"/>
      <name val="Times New Roman"/>
      <charset val="134"/>
    </font>
    <font>
      <sz val="9"/>
      <color theme="1"/>
      <name val="宋体"/>
      <charset val="134"/>
    </font>
    <font>
      <sz val="9"/>
      <color rgb="FFFF0000"/>
      <name val="宋体"/>
      <charset val="134"/>
    </font>
    <font>
      <sz val="9"/>
      <color indexed="8"/>
      <name val="宋体"/>
      <charset val="134"/>
    </font>
    <font>
      <sz val="9"/>
      <color indexed="8"/>
      <name val="Times New Roman"/>
      <charset val="134"/>
    </font>
    <font>
      <sz val="9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rgb="FF000000"/>
      <name val="仿宋"/>
      <charset val="134"/>
    </font>
    <font>
      <sz val="10"/>
      <color theme="1"/>
      <name val="仿宋"/>
      <charset val="134"/>
    </font>
    <font>
      <sz val="10"/>
      <color rgb="FFFF0000"/>
      <name val="仿宋"/>
      <charset val="134"/>
    </font>
    <font>
      <sz val="10"/>
      <name val="仿宋"/>
      <charset val="134"/>
    </font>
    <font>
      <sz val="10.5"/>
      <color theme="1"/>
      <name val="宋体"/>
      <charset val="134"/>
      <scheme val="minor"/>
    </font>
    <font>
      <b/>
      <sz val="10.5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charset val="0"/>
    </font>
    <font>
      <sz val="1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9" borderId="36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37" applyNumberFormat="0" applyFill="0" applyAlignment="0" applyProtection="0">
      <alignment vertical="center"/>
    </xf>
    <xf numFmtId="0" fontId="39" fillId="0" borderId="37" applyNumberFormat="0" applyFill="0" applyAlignment="0" applyProtection="0">
      <alignment vertical="center"/>
    </xf>
    <xf numFmtId="0" fontId="40" fillId="0" borderId="38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0" borderId="39" applyNumberFormat="0" applyAlignment="0" applyProtection="0">
      <alignment vertical="center"/>
    </xf>
    <xf numFmtId="0" fontId="42" fillId="8" borderId="40" applyNumberFormat="0" applyAlignment="0" applyProtection="0">
      <alignment vertical="center"/>
    </xf>
    <xf numFmtId="0" fontId="43" fillId="8" borderId="39" applyNumberFormat="0" applyAlignment="0" applyProtection="0">
      <alignment vertical="center"/>
    </xf>
    <xf numFmtId="0" fontId="44" fillId="11" borderId="41" applyNumberFormat="0" applyAlignment="0" applyProtection="0">
      <alignment vertical="center"/>
    </xf>
    <xf numFmtId="0" fontId="45" fillId="0" borderId="42" applyNumberFormat="0" applyFill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</cellStyleXfs>
  <cellXfs count="232">
    <xf numFmtId="0" fontId="0" fillId="0" borderId="0" xfId="0">
      <alignment vertical="center"/>
    </xf>
    <xf numFmtId="0" fontId="1" fillId="0" borderId="0" xfId="0" applyFont="1" applyFill="1" applyAlignment="1">
      <alignment vertical="top"/>
    </xf>
    <xf numFmtId="0" fontId="2" fillId="0" borderId="0" xfId="0" applyFont="1" applyFill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6" fontId="3" fillId="0" borderId="2" xfId="0" applyNumberFormat="1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176" fontId="5" fillId="0" borderId="2" xfId="0" applyNumberFormat="1" applyFont="1" applyFill="1" applyBorder="1" applyAlignment="1">
      <alignment horizontal="right" vertical="center"/>
    </xf>
    <xf numFmtId="177" fontId="5" fillId="0" borderId="2" xfId="0" applyNumberFormat="1" applyFont="1" applyFill="1" applyBorder="1" applyAlignment="1">
      <alignment horizontal="right" vertical="center"/>
    </xf>
    <xf numFmtId="0" fontId="5" fillId="0" borderId="4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vertical="top"/>
    </xf>
    <xf numFmtId="0" fontId="1" fillId="0" borderId="7" xfId="0" applyFont="1" applyFill="1" applyBorder="1" applyAlignment="1">
      <alignment vertical="top"/>
    </xf>
    <xf numFmtId="0" fontId="5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vertical="top"/>
    </xf>
    <xf numFmtId="0" fontId="1" fillId="0" borderId="10" xfId="0" applyFont="1" applyFill="1" applyBorder="1" applyAlignment="1">
      <alignment vertical="top"/>
    </xf>
    <xf numFmtId="0" fontId="5" fillId="0" borderId="1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>
      <alignment vertical="center"/>
    </xf>
    <xf numFmtId="0" fontId="7" fillId="0" borderId="10" xfId="0" applyFont="1" applyBorder="1" applyAlignment="1">
      <alignment horizontal="center" vertical="center" wrapText="1"/>
    </xf>
    <xf numFmtId="0" fontId="6" fillId="3" borderId="0" xfId="0" applyFont="1" applyFill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3" borderId="10" xfId="0" applyFont="1" applyFill="1" applyBorder="1">
      <alignment vertical="center"/>
    </xf>
    <xf numFmtId="0" fontId="6" fillId="3" borderId="10" xfId="0" applyFont="1" applyFill="1" applyBorder="1" applyAlignment="1">
      <alignment horizontal="center" vertical="center"/>
    </xf>
    <xf numFmtId="49" fontId="6" fillId="3" borderId="10" xfId="0" applyNumberFormat="1" applyFont="1" applyFill="1" applyBorder="1">
      <alignment vertical="center"/>
    </xf>
    <xf numFmtId="0" fontId="6" fillId="0" borderId="0" xfId="0" applyFont="1" applyFill="1">
      <alignment vertical="center"/>
    </xf>
    <xf numFmtId="0" fontId="6" fillId="4" borderId="0" xfId="0" applyFont="1" applyFill="1">
      <alignment vertical="center"/>
    </xf>
    <xf numFmtId="0" fontId="8" fillId="0" borderId="0" xfId="0" applyFont="1" applyAlignment="1">
      <alignment horizontal="right" vertical="center" wrapText="1"/>
    </xf>
    <xf numFmtId="49" fontId="6" fillId="0" borderId="10" xfId="0" applyNumberFormat="1" applyFont="1" applyFill="1" applyBorder="1">
      <alignment vertical="center"/>
    </xf>
    <xf numFmtId="0" fontId="6" fillId="4" borderId="0" xfId="0" applyFont="1" applyFill="1" applyAlignment="1">
      <alignment vertical="center" wrapText="1"/>
    </xf>
    <xf numFmtId="0" fontId="9" fillId="0" borderId="10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Fill="1" applyAlignment="1">
      <alignment horizontal="left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vertical="center" wrapText="1"/>
    </xf>
    <xf numFmtId="0" fontId="6" fillId="0" borderId="10" xfId="0" applyFont="1" applyFill="1" applyBorder="1">
      <alignment vertical="center"/>
    </xf>
    <xf numFmtId="0" fontId="10" fillId="5" borderId="10" xfId="0" applyFont="1" applyFill="1" applyBorder="1" applyAlignment="1">
      <alignment horizontal="left" vertical="center"/>
    </xf>
    <xf numFmtId="0" fontId="11" fillId="0" borderId="12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0" fillId="6" borderId="0" xfId="0" applyFill="1">
      <alignment vertical="center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3" fillId="0" borderId="13" xfId="0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left" vertical="center" wrapText="1"/>
    </xf>
    <xf numFmtId="178" fontId="13" fillId="0" borderId="14" xfId="0" applyNumberFormat="1" applyFont="1" applyFill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179" fontId="14" fillId="0" borderId="14" xfId="0" applyNumberFormat="1" applyFont="1" applyBorder="1" applyAlignment="1">
      <alignment horizontal="center" vertical="center"/>
    </xf>
    <xf numFmtId="179" fontId="14" fillId="0" borderId="15" xfId="0" applyNumberFormat="1" applyFont="1" applyBorder="1" applyAlignment="1">
      <alignment horizontal="center" vertical="center"/>
    </xf>
    <xf numFmtId="0" fontId="15" fillId="0" borderId="17" xfId="0" applyFont="1" applyFill="1" applyBorder="1" applyAlignment="1">
      <alignment horizontal="center" vertical="center"/>
    </xf>
    <xf numFmtId="0" fontId="13" fillId="6" borderId="10" xfId="0" applyFont="1" applyFill="1" applyBorder="1" applyAlignment="1">
      <alignment horizontal="left" vertical="center" wrapText="1"/>
    </xf>
    <xf numFmtId="178" fontId="13" fillId="0" borderId="10" xfId="0" applyNumberFormat="1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179" fontId="14" fillId="0" borderId="10" xfId="0" applyNumberFormat="1" applyFont="1" applyBorder="1" applyAlignment="1">
      <alignment horizontal="center" vertical="center"/>
    </xf>
    <xf numFmtId="179" fontId="14" fillId="0" borderId="18" xfId="0" applyNumberFormat="1" applyFont="1" applyBorder="1" applyAlignment="1">
      <alignment horizontal="center" vertical="center"/>
    </xf>
    <xf numFmtId="180" fontId="14" fillId="0" borderId="10" xfId="0" applyNumberFormat="1" applyFont="1" applyBorder="1" applyAlignment="1">
      <alignment horizontal="center" vertical="center"/>
    </xf>
    <xf numFmtId="180" fontId="14" fillId="0" borderId="18" xfId="0" applyNumberFormat="1" applyFont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 wrapText="1"/>
    </xf>
    <xf numFmtId="0" fontId="15" fillId="0" borderId="16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left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180" fontId="14" fillId="0" borderId="4" xfId="0" applyNumberFormat="1" applyFont="1" applyBorder="1" applyAlignment="1">
      <alignment horizontal="center" vertical="center"/>
    </xf>
    <xf numFmtId="180" fontId="14" fillId="0" borderId="5" xfId="0" applyNumberFormat="1" applyFont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left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left" vertical="center"/>
    </xf>
    <xf numFmtId="0" fontId="13" fillId="0" borderId="10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left" vertical="center"/>
    </xf>
    <xf numFmtId="0" fontId="15" fillId="0" borderId="10" xfId="0" applyFont="1" applyFill="1" applyBorder="1" applyAlignment="1">
      <alignment horizontal="center" vertical="center"/>
    </xf>
    <xf numFmtId="10" fontId="14" fillId="0" borderId="10" xfId="0" applyNumberFormat="1" applyFont="1" applyBorder="1" applyAlignment="1">
      <alignment horizontal="center" vertical="center"/>
    </xf>
    <xf numFmtId="10" fontId="14" fillId="0" borderId="18" xfId="0" applyNumberFormat="1" applyFont="1" applyBorder="1" applyAlignment="1">
      <alignment horizontal="center" vertical="center"/>
    </xf>
    <xf numFmtId="0" fontId="16" fillId="0" borderId="10" xfId="0" applyFont="1" applyBorder="1" applyAlignment="1">
      <alignment horizontal="left" vertical="center"/>
    </xf>
    <xf numFmtId="0" fontId="16" fillId="0" borderId="10" xfId="0" applyFont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 wrapText="1"/>
    </xf>
    <xf numFmtId="0" fontId="16" fillId="0" borderId="20" xfId="0" applyFont="1" applyBorder="1" applyAlignment="1">
      <alignment horizontal="left" vertical="center"/>
    </xf>
    <xf numFmtId="0" fontId="13" fillId="0" borderId="20" xfId="0" applyFont="1" applyFill="1" applyBorder="1" applyAlignment="1">
      <alignment horizontal="center" vertical="center"/>
    </xf>
    <xf numFmtId="179" fontId="14" fillId="0" borderId="20" xfId="0" applyNumberFormat="1" applyFont="1" applyBorder="1" applyAlignment="1">
      <alignment horizontal="center" vertical="center"/>
    </xf>
    <xf numFmtId="179" fontId="14" fillId="0" borderId="21" xfId="0" applyNumberFormat="1" applyFont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left" vertical="center"/>
    </xf>
    <xf numFmtId="0" fontId="13" fillId="0" borderId="11" xfId="0" applyFont="1" applyFill="1" applyBorder="1" applyAlignment="1">
      <alignment horizontal="center" vertical="center"/>
    </xf>
    <xf numFmtId="179" fontId="14" fillId="0" borderId="11" xfId="0" applyNumberFormat="1" applyFont="1" applyBorder="1" applyAlignment="1">
      <alignment horizontal="center" vertical="center"/>
    </xf>
    <xf numFmtId="179" fontId="14" fillId="0" borderId="23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left" vertical="center"/>
    </xf>
    <xf numFmtId="0" fontId="13" fillId="0" borderId="4" xfId="0" applyFont="1" applyFill="1" applyBorder="1" applyAlignment="1">
      <alignment horizontal="center" vertical="center"/>
    </xf>
    <xf numFmtId="179" fontId="14" fillId="0" borderId="4" xfId="0" applyNumberFormat="1" applyFont="1" applyBorder="1" applyAlignment="1">
      <alignment horizontal="center" vertical="center"/>
    </xf>
    <xf numFmtId="179" fontId="14" fillId="0" borderId="5" xfId="0" applyNumberFormat="1" applyFont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left" vertical="center"/>
    </xf>
    <xf numFmtId="0" fontId="13" fillId="0" borderId="19" xfId="0" applyFont="1" applyFill="1" applyBorder="1" applyAlignment="1">
      <alignment horizontal="center" vertical="center"/>
    </xf>
    <xf numFmtId="0" fontId="16" fillId="3" borderId="20" xfId="0" applyFont="1" applyFill="1" applyBorder="1" applyAlignment="1">
      <alignment horizontal="left" vertical="center"/>
    </xf>
    <xf numFmtId="0" fontId="16" fillId="0" borderId="20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left" vertical="center"/>
    </xf>
    <xf numFmtId="0" fontId="15" fillId="0" borderId="19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left" vertical="center"/>
    </xf>
    <xf numFmtId="0" fontId="16" fillId="0" borderId="13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16" fillId="0" borderId="16" xfId="0" applyFont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left" vertical="center"/>
    </xf>
    <xf numFmtId="0" fontId="16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6" fillId="0" borderId="24" xfId="0" applyFont="1" applyBorder="1" applyAlignment="1">
      <alignment horizontal="left" vertical="center"/>
    </xf>
    <xf numFmtId="0" fontId="14" fillId="0" borderId="25" xfId="0" applyFont="1" applyBorder="1" applyAlignment="1">
      <alignment horizontal="left" vertical="center"/>
    </xf>
    <xf numFmtId="0" fontId="13" fillId="0" borderId="25" xfId="0" applyFont="1" applyFill="1" applyBorder="1" applyAlignment="1">
      <alignment horizontal="center" vertical="center"/>
    </xf>
    <xf numFmtId="179" fontId="14" fillId="0" borderId="25" xfId="0" applyNumberFormat="1" applyFont="1" applyBorder="1" applyAlignment="1">
      <alignment horizontal="center" vertical="center"/>
    </xf>
    <xf numFmtId="179" fontId="14" fillId="0" borderId="26" xfId="0" applyNumberFormat="1" applyFont="1" applyBorder="1" applyAlignment="1">
      <alignment horizontal="center" vertical="center"/>
    </xf>
    <xf numFmtId="0" fontId="15" fillId="3" borderId="14" xfId="0" applyFont="1" applyFill="1" applyBorder="1" applyAlignment="1">
      <alignment horizontal="left" vertical="center"/>
    </xf>
    <xf numFmtId="0" fontId="15" fillId="0" borderId="17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left" vertical="center"/>
    </xf>
    <xf numFmtId="0" fontId="15" fillId="0" borderId="19" xfId="0" applyFont="1" applyFill="1" applyBorder="1" applyAlignment="1">
      <alignment horizontal="center" vertical="center" wrapText="1"/>
    </xf>
    <xf numFmtId="0" fontId="15" fillId="0" borderId="20" xfId="0" applyFont="1" applyFill="1" applyBorder="1" applyAlignment="1">
      <alignment horizontal="center" vertical="center"/>
    </xf>
    <xf numFmtId="10" fontId="14" fillId="0" borderId="20" xfId="0" applyNumberFormat="1" applyFont="1" applyBorder="1" applyAlignment="1">
      <alignment horizontal="center" vertical="center"/>
    </xf>
    <xf numFmtId="10" fontId="14" fillId="0" borderId="21" xfId="0" applyNumberFormat="1" applyFont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left" vertical="center"/>
    </xf>
    <xf numFmtId="0" fontId="15" fillId="0" borderId="14" xfId="0" applyFont="1" applyFill="1" applyBorder="1" applyAlignment="1">
      <alignment horizontal="center" vertical="center"/>
    </xf>
    <xf numFmtId="10" fontId="14" fillId="0" borderId="14" xfId="0" applyNumberFormat="1" applyFont="1" applyBorder="1" applyAlignment="1">
      <alignment horizontal="center" vertical="center"/>
    </xf>
    <xf numFmtId="10" fontId="14" fillId="0" borderId="15" xfId="0" applyNumberFormat="1" applyFont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 wrapText="1"/>
    </xf>
    <xf numFmtId="181" fontId="14" fillId="0" borderId="10" xfId="0" applyNumberFormat="1" applyFont="1" applyBorder="1" applyAlignment="1">
      <alignment horizontal="center" vertical="center"/>
    </xf>
    <xf numFmtId="181" fontId="14" fillId="0" borderId="18" xfId="0" applyNumberFormat="1" applyFont="1" applyBorder="1" applyAlignment="1">
      <alignment horizontal="center" vertical="center"/>
    </xf>
    <xf numFmtId="0" fontId="17" fillId="0" borderId="20" xfId="0" applyFont="1" applyFill="1" applyBorder="1" applyAlignment="1">
      <alignment horizontal="left" vertical="center"/>
    </xf>
    <xf numFmtId="0" fontId="5" fillId="0" borderId="28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left" vertical="center"/>
    </xf>
    <xf numFmtId="0" fontId="15" fillId="0" borderId="4" xfId="0" applyFont="1" applyFill="1" applyBorder="1" applyAlignment="1">
      <alignment horizontal="center" vertical="center"/>
    </xf>
    <xf numFmtId="181" fontId="14" fillId="0" borderId="4" xfId="0" applyNumberFormat="1" applyFont="1" applyBorder="1" applyAlignment="1">
      <alignment horizontal="center" vertical="center"/>
    </xf>
    <xf numFmtId="181" fontId="14" fillId="0" borderId="5" xfId="0" applyNumberFormat="1" applyFont="1" applyBorder="1" applyAlignment="1">
      <alignment horizontal="center" vertical="center"/>
    </xf>
    <xf numFmtId="0" fontId="17" fillId="0" borderId="4" xfId="0" applyNumberFormat="1" applyFont="1" applyFill="1" applyBorder="1" applyAlignment="1">
      <alignment horizontal="left" vertical="center"/>
    </xf>
    <xf numFmtId="0" fontId="13" fillId="0" borderId="4" xfId="0" applyNumberFormat="1" applyFont="1" applyFill="1" applyBorder="1" applyAlignment="1">
      <alignment horizontal="center" vertical="center"/>
    </xf>
    <xf numFmtId="179" fontId="14" fillId="0" borderId="4" xfId="0" applyNumberFormat="1" applyFont="1" applyFill="1" applyBorder="1" applyAlignment="1">
      <alignment horizontal="center" vertical="center"/>
    </xf>
    <xf numFmtId="0" fontId="14" fillId="0" borderId="4" xfId="0" applyNumberFormat="1" applyFont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 wrapText="1"/>
    </xf>
    <xf numFmtId="0" fontId="16" fillId="3" borderId="14" xfId="0" applyFont="1" applyFill="1" applyBorder="1" applyAlignment="1">
      <alignment horizontal="left" vertical="center"/>
    </xf>
    <xf numFmtId="181" fontId="14" fillId="0" borderId="20" xfId="0" applyNumberFormat="1" applyFont="1" applyBorder="1" applyAlignment="1">
      <alignment horizontal="center" vertical="center"/>
    </xf>
    <xf numFmtId="0" fontId="15" fillId="0" borderId="29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181" fontId="14" fillId="0" borderId="11" xfId="0" applyNumberFormat="1" applyFont="1" applyBorder="1" applyAlignment="1">
      <alignment horizontal="center" vertical="center"/>
    </xf>
    <xf numFmtId="181" fontId="14" fillId="0" borderId="23" xfId="0" applyNumberFormat="1" applyFont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left" vertical="center"/>
    </xf>
    <xf numFmtId="0" fontId="18" fillId="0" borderId="13" xfId="0" applyFont="1" applyFill="1" applyBorder="1" applyAlignment="1">
      <alignment horizontal="center" vertical="center" wrapText="1"/>
    </xf>
    <xf numFmtId="0" fontId="18" fillId="3" borderId="14" xfId="0" applyFont="1" applyFill="1" applyBorder="1" applyAlignment="1">
      <alignment horizontal="left" vertical="center"/>
    </xf>
    <xf numFmtId="0" fontId="18" fillId="0" borderId="14" xfId="0" applyFont="1" applyFill="1" applyBorder="1" applyAlignment="1">
      <alignment horizontal="center" vertical="center"/>
    </xf>
    <xf numFmtId="0" fontId="18" fillId="0" borderId="17" xfId="0" applyFont="1" applyFill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left" vertical="center"/>
    </xf>
    <xf numFmtId="0" fontId="19" fillId="0" borderId="10" xfId="0" applyFont="1" applyFill="1" applyBorder="1" applyAlignment="1">
      <alignment horizontal="center" vertical="center"/>
    </xf>
    <xf numFmtId="0" fontId="18" fillId="7" borderId="13" xfId="0" applyFont="1" applyFill="1" applyBorder="1" applyAlignment="1">
      <alignment horizontal="center" vertical="center" wrapText="1"/>
    </xf>
    <xf numFmtId="0" fontId="18" fillId="7" borderId="17" xfId="0" applyFont="1" applyFill="1" applyBorder="1" applyAlignment="1">
      <alignment horizontal="center" vertical="center" wrapText="1"/>
    </xf>
    <xf numFmtId="0" fontId="18" fillId="7" borderId="10" xfId="0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8" xfId="0" applyBorder="1">
      <alignment vertical="center"/>
    </xf>
    <xf numFmtId="0" fontId="18" fillId="7" borderId="16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left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18" fillId="7" borderId="4" xfId="0" applyFont="1" applyFill="1" applyBorder="1" applyAlignment="1">
      <alignment horizontal="center" vertical="center"/>
    </xf>
    <xf numFmtId="0" fontId="18" fillId="7" borderId="19" xfId="0" applyFont="1" applyFill="1" applyBorder="1" applyAlignment="1">
      <alignment horizontal="center" vertical="center" wrapText="1"/>
    </xf>
    <xf numFmtId="0" fontId="18" fillId="3" borderId="20" xfId="0" applyFont="1" applyFill="1" applyBorder="1" applyAlignment="1">
      <alignment horizontal="left" vertical="center"/>
    </xf>
    <xf numFmtId="0" fontId="18" fillId="7" borderId="20" xfId="0" applyFont="1" applyFill="1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20" fillId="0" borderId="22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23" xfId="0" applyBorder="1">
      <alignment vertical="center"/>
    </xf>
    <xf numFmtId="0" fontId="20" fillId="0" borderId="10" xfId="0" applyFont="1" applyBorder="1" applyAlignment="1">
      <alignment horizontal="center" vertical="center"/>
    </xf>
    <xf numFmtId="0" fontId="20" fillId="3" borderId="4" xfId="0" applyFont="1" applyFill="1" applyBorder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3" borderId="14" xfId="0" applyFont="1" applyFill="1" applyBorder="1">
      <alignment vertical="center"/>
    </xf>
    <xf numFmtId="0" fontId="20" fillId="0" borderId="14" xfId="0" applyFont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20" fillId="0" borderId="17" xfId="0" applyFont="1" applyBorder="1" applyAlignment="1">
      <alignment horizontal="center" vertical="center"/>
    </xf>
    <xf numFmtId="0" fontId="20" fillId="3" borderId="10" xfId="0" applyFont="1" applyFill="1" applyBorder="1">
      <alignment vertical="center"/>
    </xf>
    <xf numFmtId="0" fontId="20" fillId="0" borderId="19" xfId="0" applyFont="1" applyBorder="1" applyAlignment="1">
      <alignment horizontal="center" vertical="center"/>
    </xf>
    <xf numFmtId="0" fontId="20" fillId="3" borderId="20" xfId="0" applyFont="1" applyFill="1" applyBorder="1">
      <alignment vertical="center"/>
    </xf>
    <xf numFmtId="0" fontId="20" fillId="0" borderId="20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3" borderId="1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10" xfId="0" applyFont="1" applyFill="1" applyBorder="1" applyAlignment="1">
      <alignment horizontal="center" vertical="center"/>
    </xf>
    <xf numFmtId="0" fontId="23" fillId="0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4" fillId="0" borderId="10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25" fillId="0" borderId="10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/>
    </xf>
    <xf numFmtId="0" fontId="27" fillId="0" borderId="10" xfId="0" applyFont="1" applyFill="1" applyBorder="1" applyAlignment="1">
      <alignment horizontal="center" vertical="center"/>
    </xf>
    <xf numFmtId="0" fontId="28" fillId="0" borderId="30" xfId="0" applyFont="1" applyBorder="1" applyAlignment="1">
      <alignment horizontal="right" vertical="center" wrapText="1"/>
    </xf>
    <xf numFmtId="3" fontId="28" fillId="0" borderId="30" xfId="0" applyNumberFormat="1" applyFont="1" applyBorder="1" applyAlignment="1">
      <alignment horizontal="right" vertical="center" wrapText="1"/>
    </xf>
    <xf numFmtId="0" fontId="28" fillId="0" borderId="31" xfId="0" applyFont="1" applyBorder="1" applyAlignment="1">
      <alignment horizontal="right" vertical="center" wrapText="1"/>
    </xf>
    <xf numFmtId="3" fontId="28" fillId="0" borderId="31" xfId="0" applyNumberFormat="1" applyFont="1" applyBorder="1" applyAlignment="1">
      <alignment horizontal="right" vertical="center" wrapText="1"/>
    </xf>
    <xf numFmtId="0" fontId="28" fillId="0" borderId="32" xfId="0" applyFont="1" applyBorder="1" applyAlignment="1">
      <alignment horizontal="center" vertical="center" wrapText="1"/>
    </xf>
    <xf numFmtId="3" fontId="28" fillId="0" borderId="33" xfId="0" applyNumberFormat="1" applyFont="1" applyBorder="1" applyAlignment="1">
      <alignment horizontal="center" vertical="center" wrapText="1"/>
    </xf>
    <xf numFmtId="0" fontId="28" fillId="0" borderId="34" xfId="0" applyFont="1" applyBorder="1" applyAlignment="1">
      <alignment horizontal="center" vertical="center" wrapText="1"/>
    </xf>
    <xf numFmtId="3" fontId="28" fillId="0" borderId="35" xfId="0" applyNumberFormat="1" applyFont="1" applyBorder="1" applyAlignment="1">
      <alignment horizontal="center" vertical="center" wrapText="1"/>
    </xf>
    <xf numFmtId="0" fontId="29" fillId="8" borderId="30" xfId="0" applyFont="1" applyFill="1" applyBorder="1" applyAlignment="1">
      <alignment horizontal="right" vertical="center" wrapText="1"/>
    </xf>
    <xf numFmtId="3" fontId="29" fillId="8" borderId="30" xfId="0" applyNumberFormat="1" applyFont="1" applyFill="1" applyBorder="1" applyAlignment="1">
      <alignment horizontal="right" vertical="center" wrapText="1"/>
    </xf>
    <xf numFmtId="0" fontId="30" fillId="0" borderId="0" xfId="0" applyFont="1" applyAlignment="1">
      <alignment horizontal="center" vertical="center"/>
    </xf>
    <xf numFmtId="0" fontId="25" fillId="0" borderId="10" xfId="0" applyFont="1" applyFill="1" applyBorder="1" applyAlignment="1">
      <alignment horizontal="center" vertical="center"/>
    </xf>
    <xf numFmtId="0" fontId="31" fillId="0" borderId="0" xfId="0" applyFont="1" applyFill="1" applyBorder="1" applyAlignment="1"/>
    <xf numFmtId="0" fontId="0" fillId="0" borderId="10" xfId="0" applyFont="1" applyBorder="1" applyAlignment="1">
      <alignment horizontal="center" vertical="center"/>
    </xf>
    <xf numFmtId="0" fontId="24" fillId="5" borderId="10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32" fillId="0" borderId="10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336" dbFileVersion="0" changeLogVersion="0">
    <open main="151" threadCnt="1"/>
    <sheetInfos>
      <sheetInfo cellCmpFml="256" sheetStid="1">
        <open main="22" threadCnt="1"/>
      </sheetInfo>
      <sheetInfo cellCmpFml="0" sheetStid="11">
        <open main="4" threadCnt="1"/>
      </sheetInfo>
      <sheetInfo cellCmpFml="80" sheetStid="9">
        <open main="4" threadCnt="1"/>
      </sheetInfo>
      <sheetInfo cellCmpFml="0" sheetStid="6">
        <open main="1" threadCnt="1"/>
      </sheetInfo>
      <sheetInfo cellCmpFml="0" sheetStid="12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1.xml"/><Relationship Id="rId7" Type="http://schemas.openxmlformats.org/officeDocument/2006/relationships/externalLink" Target="externalLinks/externalLink2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www.wps.cn/officeDocument/2023/relationships/woinfos" Target="woinfos.xml"/><Relationship Id="rId13" Type="http://schemas.openxmlformats.org/officeDocument/2006/relationships/styles" Target="styles.xml"/><Relationship Id="rId12" Type="http://schemas.openxmlformats.org/officeDocument/2006/relationships/customXml" Target="../customXml/item3.xml"/><Relationship Id="rId11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:/2&#12289;&#26376;&#24230;&#29983;&#20135;&#25253;&#34920;&#27719;&#24635;&#65288;2021&#24180;&#33267;&#20170;&#65289;/1&#12289;&#29983;&#20135;&#25968;&#25454;/2&#12289;&#26376;&#25253;/&#29983;&#20135;&#25968;&#25454;2025/4&#26376;&#23376;&#20844;&#21496;&#25253;&#34920;/02&#12289;&#20013;&#29615;&#21508;&#20844;&#21496;&#29983;&#20135;&#20998;&#26512;&#25253;&#34920;&#27719;&#24635;&#65288;&#26376;&#24180;&#6528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:/xwechat_files/wxid_msiyd3edcidb41_965f/msg/file/2025-10/&#32479;&#35745;&#23545;&#35937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生产耗材用量汇总"/>
      <sheetName val="本月生产指标汇总分析"/>
      <sheetName val="累计生产指标汇总分析"/>
      <sheetName val="中国环保（月 年）度生产指标汇总"/>
      <sheetName val="杭州"/>
      <sheetName val="石家庄"/>
      <sheetName val="临沂"/>
      <sheetName val="承德"/>
      <sheetName val="秦皇岛"/>
      <sheetName val="成都"/>
      <sheetName val="合肥"/>
      <sheetName val="开封"/>
      <sheetName val="保定"/>
      <sheetName val="润达"/>
      <sheetName val="沧州"/>
      <sheetName val="即墨"/>
      <sheetName val="牟平"/>
      <sheetName val="郯城"/>
      <sheetName val="萍乡"/>
      <sheetName val="潮南"/>
      <sheetName val="通化"/>
      <sheetName val="抚州"/>
      <sheetName val="天水"/>
      <sheetName val="衡水"/>
      <sheetName val="肥城环保"/>
      <sheetName val="莱西"/>
      <sheetName val="金堂"/>
      <sheetName val="毕节"/>
      <sheetName val="西安鄠邑"/>
      <sheetName val="平顶山"/>
      <sheetName val="肥西"/>
      <sheetName val="涞水"/>
      <sheetName val="齐齐哈尔"/>
      <sheetName val="福州"/>
      <sheetName val="象山"/>
      <sheetName val="保南"/>
      <sheetName val="资阳"/>
      <sheetName val="定州"/>
      <sheetName val="大城"/>
      <sheetName val="红河"/>
      <sheetName val="盐山"/>
      <sheetName val="丽江"/>
      <sheetName val="汉中"/>
      <sheetName val="东光"/>
      <sheetName val="安平"/>
      <sheetName val="黄骅"/>
      <sheetName val="烟台环能"/>
      <sheetName val="南部"/>
      <sheetName val="天津"/>
      <sheetName val="兰山"/>
      <sheetName val="行唐"/>
      <sheetName val="蔚县"/>
      <sheetName val="咸宁"/>
      <sheetName val="昌乐"/>
      <sheetName val="曲周"/>
      <sheetName val="鹤岗"/>
      <sheetName val="贞丰"/>
      <sheetName val="商河"/>
      <sheetName val="平山"/>
      <sheetName val="怀来"/>
      <sheetName val="龙南"/>
      <sheetName val="商洛"/>
      <sheetName val="安康"/>
      <sheetName val="平泉"/>
      <sheetName val="备用"/>
      <sheetName val="云阳"/>
      <sheetName val="元江"/>
      <sheetName val="晋州"/>
      <sheetName val="宿迁"/>
      <sheetName val="栖霞"/>
      <sheetName val="舒城"/>
      <sheetName val="肥城"/>
      <sheetName val="厦门"/>
      <sheetName val="莆田"/>
      <sheetName val="沣西"/>
      <sheetName val="2025年汇总"/>
      <sheetName val="计划"/>
    </sheetNames>
    <sheetDataSet>
      <sheetData sheetId="0"/>
      <sheetData sheetId="1"/>
      <sheetData sheetId="2"/>
      <sheetData sheetId="3">
        <row r="3">
          <cell r="D3">
            <v>31</v>
          </cell>
          <cell r="E3">
            <v>28</v>
          </cell>
          <cell r="F3">
            <v>31</v>
          </cell>
          <cell r="G3">
            <v>30</v>
          </cell>
          <cell r="H3">
            <v>31</v>
          </cell>
          <cell r="I3">
            <v>30</v>
          </cell>
          <cell r="J3">
            <v>31</v>
          </cell>
          <cell r="K3">
            <v>31</v>
          </cell>
          <cell r="L3">
            <v>30</v>
          </cell>
          <cell r="M3">
            <v>31</v>
          </cell>
          <cell r="N3">
            <v>30</v>
          </cell>
          <cell r="O3">
            <v>31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0"/>
    </sheetNames>
    <sheetDataSet>
      <sheetData sheetId="0">
        <row r="2">
          <cell r="A2" t="str">
            <v>1001</v>
          </cell>
          <cell r="B2" t="str">
            <v>电量</v>
          </cell>
        </row>
        <row r="3">
          <cell r="A3" t="str">
            <v>1005</v>
          </cell>
          <cell r="B3" t="str">
            <v>供汽供热</v>
          </cell>
        </row>
        <row r="4">
          <cell r="A4" t="str">
            <v>1010</v>
          </cell>
          <cell r="B4" t="str">
            <v>生活垃圾</v>
          </cell>
        </row>
        <row r="5">
          <cell r="A5" t="str">
            <v>1015</v>
          </cell>
          <cell r="B5" t="str">
            <v>生物质</v>
          </cell>
        </row>
        <row r="6">
          <cell r="A6" t="str">
            <v>1020</v>
          </cell>
          <cell r="B6" t="str">
            <v>餐厨厨余</v>
          </cell>
        </row>
        <row r="7">
          <cell r="A7" t="str">
            <v>1021</v>
          </cell>
          <cell r="B7" t="str">
            <v>餐厨厨余-有机</v>
          </cell>
        </row>
        <row r="8">
          <cell r="A8" t="str">
            <v>1025</v>
          </cell>
          <cell r="B8" t="str">
            <v>主设备运行时间</v>
          </cell>
        </row>
        <row r="9">
          <cell r="A9" t="str">
            <v>1026</v>
          </cell>
          <cell r="B9" t="str">
            <v>主设备停运时间</v>
          </cell>
        </row>
        <row r="10">
          <cell r="A10" t="str">
            <v>1030</v>
          </cell>
          <cell r="B10" t="str">
            <v>锅炉产汽量</v>
          </cell>
        </row>
        <row r="11">
          <cell r="A11" t="str">
            <v>1031</v>
          </cell>
          <cell r="B11" t="str">
            <v>汽机进汽量</v>
          </cell>
        </row>
        <row r="12">
          <cell r="A12" t="str">
            <v>1035</v>
          </cell>
          <cell r="B12" t="str">
            <v>污泥</v>
          </cell>
        </row>
        <row r="13">
          <cell r="A13" t="str">
            <v>1036</v>
          </cell>
          <cell r="B13" t="str">
            <v>污泥-有机</v>
          </cell>
        </row>
        <row r="14">
          <cell r="A14" t="str">
            <v>1040</v>
          </cell>
          <cell r="B14" t="str">
            <v>沼气</v>
          </cell>
        </row>
        <row r="15">
          <cell r="A15" t="str">
            <v>1041</v>
          </cell>
          <cell r="B15" t="str">
            <v>沼渣量</v>
          </cell>
        </row>
        <row r="16">
          <cell r="A16" t="str">
            <v>1045</v>
          </cell>
          <cell r="B16" t="str">
            <v>生产用水</v>
          </cell>
        </row>
        <row r="17">
          <cell r="A17" t="str">
            <v>1050</v>
          </cell>
          <cell r="B17" t="str">
            <v>能源消耗</v>
          </cell>
        </row>
        <row r="18">
          <cell r="A18" t="str">
            <v>1055</v>
          </cell>
          <cell r="B18" t="str">
            <v>灰渣</v>
          </cell>
        </row>
        <row r="19">
          <cell r="A19" t="str">
            <v>1060</v>
          </cell>
          <cell r="B19" t="str">
            <v>环保耗材消耗</v>
          </cell>
        </row>
        <row r="20">
          <cell r="A20" t="str">
            <v>1065</v>
          </cell>
          <cell r="B20" t="str">
            <v>耗材入厂</v>
          </cell>
        </row>
        <row r="21">
          <cell r="A21" t="str">
            <v>1070</v>
          </cell>
          <cell r="B21" t="str">
            <v>动物无害化</v>
          </cell>
        </row>
        <row r="22">
          <cell r="A22" t="str">
            <v>1075</v>
          </cell>
          <cell r="B22" t="str">
            <v>锅炉给水</v>
          </cell>
        </row>
        <row r="23">
          <cell r="A23" t="str">
            <v>1080</v>
          </cell>
          <cell r="B23" t="str">
            <v>建筑垃圾</v>
          </cell>
        </row>
        <row r="24">
          <cell r="A24" t="str">
            <v>1085</v>
          </cell>
          <cell r="B24" t="str">
            <v>药剂消耗-有机</v>
          </cell>
        </row>
        <row r="25">
          <cell r="A25" t="str">
            <v>1090</v>
          </cell>
          <cell r="B25" t="str">
            <v>污水排放</v>
          </cell>
        </row>
        <row r="26">
          <cell r="A26" t="str">
            <v>1095</v>
          </cell>
          <cell r="B26" t="str">
            <v>酒糟</v>
          </cell>
        </row>
        <row r="27">
          <cell r="A27" t="str">
            <v>1100</v>
          </cell>
          <cell r="B27" t="str">
            <v>农林废弃物-有机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1"/>
  <sheetViews>
    <sheetView zoomScale="130" zoomScaleNormal="130" topLeftCell="A130" workbookViewId="0">
      <selection activeCell="G140" sqref="G140"/>
    </sheetView>
  </sheetViews>
  <sheetFormatPr defaultColWidth="8.89166666666667" defaultRowHeight="13.5"/>
  <cols>
    <col min="1" max="1" width="6.44166666666667" customWidth="1"/>
    <col min="2" max="2" width="21.1083333333333" customWidth="1"/>
    <col min="3" max="3" width="12.6666666666667" hidden="1" customWidth="1"/>
    <col min="4" max="4" width="26.6666666666667" style="203" customWidth="1"/>
    <col min="5" max="6" width="12.6666666666667" customWidth="1"/>
    <col min="7" max="7" width="23.3333333333333" style="203" customWidth="1"/>
  </cols>
  <sheetData>
    <row r="1" spans="1:11">
      <c r="A1" s="205" t="s">
        <v>0</v>
      </c>
      <c r="B1" s="205" t="s">
        <v>1</v>
      </c>
      <c r="C1" s="205" t="s">
        <v>2</v>
      </c>
      <c r="D1" s="205" t="s">
        <v>3</v>
      </c>
      <c r="E1" s="206" t="s">
        <v>4</v>
      </c>
      <c r="F1" s="206" t="s">
        <v>5</v>
      </c>
      <c r="G1" s="223" t="s">
        <v>6</v>
      </c>
      <c r="H1" t="s">
        <v>7</v>
      </c>
      <c r="I1" t="s">
        <v>8</v>
      </c>
    </row>
    <row r="2" spans="1:11">
      <c r="A2" s="207">
        <v>1</v>
      </c>
      <c r="B2" s="208" t="s">
        <v>9</v>
      </c>
      <c r="C2" s="208">
        <v>10000001</v>
      </c>
      <c r="D2" s="209" t="s">
        <v>10</v>
      </c>
      <c r="E2" s="210" t="s">
        <v>11</v>
      </c>
      <c r="F2" s="224" t="s">
        <v>12</v>
      </c>
      <c r="G2" s="207">
        <v>1001</v>
      </c>
      <c r="H2" t="str">
        <f>_xlfn.XLOOKUP(B2,[2]Sheet0!$B$2:$B$27,[2]Sheet0!$A$2:$A$27)</f>
        <v>1001</v>
      </c>
      <c r="I2" t="str">
        <f>H2&amp;G2</f>
        <v>10011001</v>
      </c>
      <c r="K2" s="225" t="s">
        <v>10</v>
      </c>
    </row>
    <row r="3" spans="1:11">
      <c r="A3" s="207">
        <v>2</v>
      </c>
      <c r="B3" s="208" t="s">
        <v>9</v>
      </c>
      <c r="C3" s="208">
        <v>10000002</v>
      </c>
      <c r="D3" s="209" t="s">
        <v>13</v>
      </c>
      <c r="E3" s="210" t="s">
        <v>11</v>
      </c>
      <c r="F3" s="224" t="s">
        <v>14</v>
      </c>
      <c r="G3" s="207">
        <v>1002</v>
      </c>
      <c r="H3" t="str">
        <f>_xlfn.XLOOKUP(B3,[2]Sheet0!$B$2:$B$27,[2]Sheet0!$A$2:$A$27)</f>
        <v>1001</v>
      </c>
      <c r="I3" t="str">
        <f t="shared" ref="I3:I66" si="0">H3&amp;G3</f>
        <v>10011002</v>
      </c>
      <c r="K3" s="225" t="s">
        <v>13</v>
      </c>
    </row>
    <row r="4" spans="1:11">
      <c r="A4" s="207">
        <v>3</v>
      </c>
      <c r="B4" s="208" t="s">
        <v>9</v>
      </c>
      <c r="C4" s="208">
        <v>10000003</v>
      </c>
      <c r="D4" s="209" t="s">
        <v>15</v>
      </c>
      <c r="E4" s="210" t="s">
        <v>11</v>
      </c>
      <c r="F4" s="224" t="s">
        <v>14</v>
      </c>
      <c r="G4" s="207">
        <v>1003</v>
      </c>
      <c r="H4" t="str">
        <f>_xlfn.XLOOKUP(B4,[2]Sheet0!$B$2:$B$27,[2]Sheet0!$A$2:$A$27)</f>
        <v>1001</v>
      </c>
      <c r="I4" t="str">
        <f t="shared" si="0"/>
        <v>10011003</v>
      </c>
      <c r="K4" s="225" t="s">
        <v>15</v>
      </c>
    </row>
    <row r="5" spans="1:11">
      <c r="A5" s="207">
        <v>4</v>
      </c>
      <c r="B5" s="208" t="s">
        <v>9</v>
      </c>
      <c r="C5" s="208">
        <v>10000004</v>
      </c>
      <c r="D5" s="209" t="s">
        <v>16</v>
      </c>
      <c r="E5" s="36" t="s">
        <v>17</v>
      </c>
      <c r="F5" s="224" t="s">
        <v>12</v>
      </c>
      <c r="G5" s="207">
        <v>1004</v>
      </c>
      <c r="H5" t="str">
        <f>_xlfn.XLOOKUP(B5,[2]Sheet0!$B$2:$B$27,[2]Sheet0!$A$2:$A$27)</f>
        <v>1001</v>
      </c>
      <c r="I5" t="str">
        <f t="shared" si="0"/>
        <v>10011004</v>
      </c>
      <c r="K5" s="225" t="s">
        <v>16</v>
      </c>
    </row>
    <row r="6" spans="1:11">
      <c r="A6" s="207">
        <v>5</v>
      </c>
      <c r="B6" s="208" t="s">
        <v>9</v>
      </c>
      <c r="C6" s="208">
        <v>10000005</v>
      </c>
      <c r="D6" s="209" t="s">
        <v>18</v>
      </c>
      <c r="E6" s="36" t="s">
        <v>11</v>
      </c>
      <c r="F6" s="224" t="s">
        <v>12</v>
      </c>
      <c r="G6" s="207">
        <v>1005</v>
      </c>
      <c r="H6" t="str">
        <f>_xlfn.XLOOKUP(B6,[2]Sheet0!$B$2:$B$27,[2]Sheet0!$A$2:$A$27)</f>
        <v>1001</v>
      </c>
      <c r="I6" t="str">
        <f t="shared" si="0"/>
        <v>10011005</v>
      </c>
      <c r="K6" s="225" t="s">
        <v>18</v>
      </c>
    </row>
    <row r="7" spans="1:11">
      <c r="A7" s="207">
        <v>6</v>
      </c>
      <c r="B7" s="208" t="s">
        <v>9</v>
      </c>
      <c r="C7" s="208">
        <v>10000006</v>
      </c>
      <c r="D7" s="209" t="s">
        <v>19</v>
      </c>
      <c r="E7" s="36" t="s">
        <v>11</v>
      </c>
      <c r="F7" s="224" t="s">
        <v>14</v>
      </c>
      <c r="G7" s="207">
        <v>1006</v>
      </c>
      <c r="H7" t="str">
        <f>_xlfn.XLOOKUP(B7,[2]Sheet0!$B$2:$B$27,[2]Sheet0!$A$2:$A$27)</f>
        <v>1001</v>
      </c>
      <c r="I7" t="str">
        <f t="shared" si="0"/>
        <v>10011006</v>
      </c>
      <c r="K7" s="225" t="s">
        <v>19</v>
      </c>
    </row>
    <row r="8" spans="1:11">
      <c r="A8" s="207">
        <v>7</v>
      </c>
      <c r="B8" s="208" t="s">
        <v>9</v>
      </c>
      <c r="C8" s="208">
        <v>10000007</v>
      </c>
      <c r="D8" s="209" t="s">
        <v>20</v>
      </c>
      <c r="E8" s="36" t="s">
        <v>11</v>
      </c>
      <c r="F8" s="224" t="s">
        <v>14</v>
      </c>
      <c r="G8" s="207">
        <v>1007</v>
      </c>
      <c r="H8" t="str">
        <f>_xlfn.XLOOKUP(B8,[2]Sheet0!$B$2:$B$27,[2]Sheet0!$A$2:$A$27)</f>
        <v>1001</v>
      </c>
      <c r="I8" t="str">
        <f t="shared" si="0"/>
        <v>10011007</v>
      </c>
      <c r="K8" s="225" t="s">
        <v>20</v>
      </c>
    </row>
    <row r="9" spans="1:11">
      <c r="A9" s="207">
        <v>8</v>
      </c>
      <c r="B9" s="208" t="s">
        <v>9</v>
      </c>
      <c r="C9" s="208">
        <v>10000008</v>
      </c>
      <c r="D9" s="209" t="s">
        <v>21</v>
      </c>
      <c r="E9" s="36" t="s">
        <v>11</v>
      </c>
      <c r="F9" s="224" t="s">
        <v>14</v>
      </c>
      <c r="G9" s="207">
        <v>1008</v>
      </c>
      <c r="H9" t="str">
        <f>_xlfn.XLOOKUP(B9,[2]Sheet0!$B$2:$B$27,[2]Sheet0!$A$2:$A$27)</f>
        <v>1001</v>
      </c>
      <c r="I9" t="str">
        <f t="shared" si="0"/>
        <v>10011008</v>
      </c>
      <c r="K9" s="225" t="s">
        <v>21</v>
      </c>
    </row>
    <row r="10" spans="1:11">
      <c r="A10" s="207">
        <v>9</v>
      </c>
      <c r="B10" s="208" t="s">
        <v>9</v>
      </c>
      <c r="C10" s="208">
        <v>10000009</v>
      </c>
      <c r="D10" s="209" t="s">
        <v>22</v>
      </c>
      <c r="E10" s="36" t="s">
        <v>11</v>
      </c>
      <c r="F10" s="224" t="s">
        <v>14</v>
      </c>
      <c r="G10" s="207">
        <v>1009</v>
      </c>
      <c r="H10" t="str">
        <f>_xlfn.XLOOKUP(B10,[2]Sheet0!$B$2:$B$27,[2]Sheet0!$A$2:$A$27)</f>
        <v>1001</v>
      </c>
      <c r="I10" t="str">
        <f t="shared" si="0"/>
        <v>10011009</v>
      </c>
      <c r="K10" s="225" t="s">
        <v>22</v>
      </c>
    </row>
    <row r="11" spans="1:11">
      <c r="A11" s="226">
        <v>10</v>
      </c>
      <c r="B11" s="208" t="s">
        <v>9</v>
      </c>
      <c r="C11" s="208">
        <v>10000010</v>
      </c>
      <c r="D11" s="209" t="s">
        <v>23</v>
      </c>
      <c r="E11" s="36" t="s">
        <v>11</v>
      </c>
      <c r="F11" s="224" t="s">
        <v>14</v>
      </c>
      <c r="G11" s="207">
        <v>1010</v>
      </c>
      <c r="H11" t="str">
        <f>_xlfn.XLOOKUP(B11,[2]Sheet0!$B$2:$B$27,[2]Sheet0!$A$2:$A$27)</f>
        <v>1001</v>
      </c>
      <c r="I11" t="str">
        <f t="shared" si="0"/>
        <v>10011010</v>
      </c>
      <c r="K11" s="225" t="s">
        <v>23</v>
      </c>
    </row>
    <row r="12" spans="1:11">
      <c r="A12" s="207">
        <v>11</v>
      </c>
      <c r="B12" s="208" t="s">
        <v>9</v>
      </c>
      <c r="C12" s="208">
        <v>10000018</v>
      </c>
      <c r="D12" s="209" t="s">
        <v>24</v>
      </c>
      <c r="E12" s="36" t="s">
        <v>11</v>
      </c>
      <c r="F12" s="224" t="s">
        <v>14</v>
      </c>
      <c r="G12" s="207">
        <v>1011</v>
      </c>
      <c r="H12" t="str">
        <f>_xlfn.XLOOKUP(B12,[2]Sheet0!$B$2:$B$27,[2]Sheet0!$A$2:$A$27)</f>
        <v>1001</v>
      </c>
      <c r="I12" t="str">
        <f t="shared" si="0"/>
        <v>10011011</v>
      </c>
      <c r="K12" s="225" t="s">
        <v>24</v>
      </c>
    </row>
    <row r="13" spans="1:11">
      <c r="A13" s="207">
        <v>12</v>
      </c>
      <c r="B13" s="208" t="s">
        <v>25</v>
      </c>
      <c r="C13" s="208">
        <v>11000001</v>
      </c>
      <c r="D13" s="209" t="s">
        <v>26</v>
      </c>
      <c r="E13" s="36" t="s">
        <v>27</v>
      </c>
      <c r="F13" s="36" t="s">
        <v>14</v>
      </c>
      <c r="G13" s="207">
        <v>1101</v>
      </c>
      <c r="H13" t="str">
        <f>_xlfn.XLOOKUP(B13,[2]Sheet0!$B$2:$B$27,[2]Sheet0!$A$2:$A$27)</f>
        <v>1005</v>
      </c>
      <c r="I13" t="str">
        <f t="shared" si="0"/>
        <v>10051101</v>
      </c>
      <c r="K13" s="225" t="s">
        <v>26</v>
      </c>
    </row>
    <row r="14" spans="1:11">
      <c r="A14" s="207">
        <v>13</v>
      </c>
      <c r="B14" s="208" t="s">
        <v>25</v>
      </c>
      <c r="C14" s="208">
        <v>11000002</v>
      </c>
      <c r="D14" s="209" t="s">
        <v>28</v>
      </c>
      <c r="E14" s="36" t="s">
        <v>29</v>
      </c>
      <c r="F14" s="36" t="s">
        <v>14</v>
      </c>
      <c r="G14" s="207">
        <v>1102</v>
      </c>
      <c r="H14" t="str">
        <f>_xlfn.XLOOKUP(B14,[2]Sheet0!$B$2:$B$27,[2]Sheet0!$A$2:$A$27)</f>
        <v>1005</v>
      </c>
      <c r="I14" t="str">
        <f t="shared" si="0"/>
        <v>10051102</v>
      </c>
      <c r="K14" s="225" t="s">
        <v>28</v>
      </c>
    </row>
    <row r="15" spans="1:11">
      <c r="A15" s="207">
        <v>14</v>
      </c>
      <c r="B15" s="208" t="s">
        <v>25</v>
      </c>
      <c r="C15" s="208">
        <v>11000003</v>
      </c>
      <c r="D15" s="209" t="s">
        <v>30</v>
      </c>
      <c r="E15" s="36" t="s">
        <v>27</v>
      </c>
      <c r="F15" s="36" t="s">
        <v>14</v>
      </c>
      <c r="G15" s="207">
        <v>1103</v>
      </c>
      <c r="H15" t="str">
        <f>_xlfn.XLOOKUP(B15,[2]Sheet0!$B$2:$B$27,[2]Sheet0!$A$2:$A$27)</f>
        <v>1005</v>
      </c>
      <c r="I15" t="str">
        <f t="shared" si="0"/>
        <v>10051103</v>
      </c>
      <c r="K15" s="225" t="s">
        <v>30</v>
      </c>
    </row>
    <row r="16" spans="1:11">
      <c r="A16" s="207">
        <v>15</v>
      </c>
      <c r="B16" s="208" t="s">
        <v>25</v>
      </c>
      <c r="C16" s="208">
        <v>11000004</v>
      </c>
      <c r="D16" s="209" t="s">
        <v>31</v>
      </c>
      <c r="E16" s="36" t="s">
        <v>27</v>
      </c>
      <c r="F16" s="36" t="s">
        <v>14</v>
      </c>
      <c r="G16" s="207">
        <v>1104</v>
      </c>
      <c r="H16" t="str">
        <f>_xlfn.XLOOKUP(B16,[2]Sheet0!$B$2:$B$27,[2]Sheet0!$A$2:$A$27)</f>
        <v>1005</v>
      </c>
      <c r="I16" t="str">
        <f t="shared" si="0"/>
        <v>10051104</v>
      </c>
      <c r="K16" s="225" t="s">
        <v>31</v>
      </c>
    </row>
    <row r="17" spans="1:11">
      <c r="A17" s="207">
        <v>16</v>
      </c>
      <c r="B17" s="208" t="s">
        <v>32</v>
      </c>
      <c r="C17" s="208">
        <v>12000001</v>
      </c>
      <c r="D17" s="209" t="s">
        <v>33</v>
      </c>
      <c r="E17" s="36" t="s">
        <v>27</v>
      </c>
      <c r="F17" s="36" t="s">
        <v>12</v>
      </c>
      <c r="G17" s="207">
        <v>1201</v>
      </c>
      <c r="H17" t="str">
        <f>_xlfn.XLOOKUP(B17,[2]Sheet0!$B$2:$B$27,[2]Sheet0!$A$2:$A$27)</f>
        <v>1010</v>
      </c>
      <c r="I17" t="str">
        <f t="shared" si="0"/>
        <v>10101201</v>
      </c>
      <c r="K17" s="225" t="s">
        <v>33</v>
      </c>
    </row>
    <row r="18" spans="1:11">
      <c r="A18" s="207">
        <v>17</v>
      </c>
      <c r="B18" s="208" t="s">
        <v>32</v>
      </c>
      <c r="C18" s="208">
        <v>12000002</v>
      </c>
      <c r="D18" s="209" t="s">
        <v>34</v>
      </c>
      <c r="E18" s="36" t="s">
        <v>27</v>
      </c>
      <c r="F18" s="36" t="s">
        <v>12</v>
      </c>
      <c r="G18" s="207">
        <v>1202</v>
      </c>
      <c r="H18" t="str">
        <f>_xlfn.XLOOKUP(B18,[2]Sheet0!$B$2:$B$27,[2]Sheet0!$A$2:$A$27)</f>
        <v>1010</v>
      </c>
      <c r="I18" t="str">
        <f t="shared" si="0"/>
        <v>10101202</v>
      </c>
      <c r="K18" s="225" t="s">
        <v>34</v>
      </c>
    </row>
    <row r="19" spans="1:11">
      <c r="A19" s="207">
        <v>18</v>
      </c>
      <c r="B19" s="208" t="s">
        <v>32</v>
      </c>
      <c r="C19" s="208">
        <v>12000003</v>
      </c>
      <c r="D19" s="209" t="s">
        <v>35</v>
      </c>
      <c r="E19" s="36" t="s">
        <v>27</v>
      </c>
      <c r="F19" s="36" t="s">
        <v>14</v>
      </c>
      <c r="G19" s="207">
        <v>1203</v>
      </c>
      <c r="H19" t="str">
        <f>_xlfn.XLOOKUP(B19,[2]Sheet0!$B$2:$B$27,[2]Sheet0!$A$2:$A$27)</f>
        <v>1010</v>
      </c>
      <c r="I19" t="str">
        <f t="shared" si="0"/>
        <v>10101203</v>
      </c>
      <c r="K19" s="225" t="s">
        <v>35</v>
      </c>
    </row>
    <row r="20" spans="1:11">
      <c r="A20" s="207">
        <v>19</v>
      </c>
      <c r="B20" s="208" t="s">
        <v>32</v>
      </c>
      <c r="C20" s="208">
        <v>12000004</v>
      </c>
      <c r="D20" s="209" t="s">
        <v>36</v>
      </c>
      <c r="E20" s="36" t="s">
        <v>27</v>
      </c>
      <c r="F20" s="36" t="s">
        <v>14</v>
      </c>
      <c r="G20" s="207">
        <v>1204</v>
      </c>
      <c r="H20" t="str">
        <f>_xlfn.XLOOKUP(B20,[2]Sheet0!$B$2:$B$27,[2]Sheet0!$A$2:$A$27)</f>
        <v>1010</v>
      </c>
      <c r="I20" t="str">
        <f t="shared" si="0"/>
        <v>10101204</v>
      </c>
      <c r="K20" s="225" t="s">
        <v>36</v>
      </c>
    </row>
    <row r="21" spans="1:11">
      <c r="A21" s="207">
        <v>20</v>
      </c>
      <c r="B21" s="208" t="s">
        <v>32</v>
      </c>
      <c r="C21" s="208">
        <v>12000005</v>
      </c>
      <c r="D21" s="209" t="s">
        <v>37</v>
      </c>
      <c r="E21" s="36" t="s">
        <v>27</v>
      </c>
      <c r="F21" s="36" t="s">
        <v>14</v>
      </c>
      <c r="G21" s="207">
        <v>1205</v>
      </c>
      <c r="H21" t="str">
        <f>_xlfn.XLOOKUP(B21,[2]Sheet0!$B$2:$B$27,[2]Sheet0!$A$2:$A$27)</f>
        <v>1010</v>
      </c>
      <c r="I21" t="str">
        <f t="shared" si="0"/>
        <v>10101205</v>
      </c>
      <c r="K21" s="225" t="s">
        <v>37</v>
      </c>
    </row>
    <row r="22" spans="1:11">
      <c r="A22" s="207">
        <v>21</v>
      </c>
      <c r="B22" s="208" t="s">
        <v>32</v>
      </c>
      <c r="C22" s="208">
        <v>12000006</v>
      </c>
      <c r="D22" s="209" t="s">
        <v>38</v>
      </c>
      <c r="E22" s="36" t="s">
        <v>27</v>
      </c>
      <c r="F22" s="36" t="s">
        <v>14</v>
      </c>
      <c r="G22" s="207">
        <v>1206</v>
      </c>
      <c r="H22" t="str">
        <f>_xlfn.XLOOKUP(B22,[2]Sheet0!$B$2:$B$27,[2]Sheet0!$A$2:$A$27)</f>
        <v>1010</v>
      </c>
      <c r="I22" t="str">
        <f t="shared" si="0"/>
        <v>10101206</v>
      </c>
      <c r="K22" s="225" t="s">
        <v>38</v>
      </c>
    </row>
    <row r="23" spans="1:11">
      <c r="A23" s="207">
        <v>22</v>
      </c>
      <c r="B23" s="208" t="s">
        <v>32</v>
      </c>
      <c r="C23" s="208">
        <v>12000007</v>
      </c>
      <c r="D23" s="209" t="s">
        <v>39</v>
      </c>
      <c r="E23" s="36" t="s">
        <v>27</v>
      </c>
      <c r="F23" s="36" t="s">
        <v>14</v>
      </c>
      <c r="G23" s="207">
        <v>1207</v>
      </c>
      <c r="H23" t="str">
        <f>_xlfn.XLOOKUP(B23,[2]Sheet0!$B$2:$B$27,[2]Sheet0!$A$2:$A$27)</f>
        <v>1010</v>
      </c>
      <c r="I23" t="str">
        <f t="shared" si="0"/>
        <v>10101207</v>
      </c>
      <c r="K23" s="225" t="s">
        <v>39</v>
      </c>
    </row>
    <row r="24" spans="1:11">
      <c r="A24" s="207">
        <v>23</v>
      </c>
      <c r="B24" s="208" t="s">
        <v>32</v>
      </c>
      <c r="C24" s="208">
        <v>12000008</v>
      </c>
      <c r="D24" s="209" t="s">
        <v>40</v>
      </c>
      <c r="E24" s="36" t="s">
        <v>27</v>
      </c>
      <c r="F24" s="36" t="s">
        <v>14</v>
      </c>
      <c r="G24" s="207">
        <v>1208</v>
      </c>
      <c r="H24" t="str">
        <f>_xlfn.XLOOKUP(B24,[2]Sheet0!$B$2:$B$27,[2]Sheet0!$A$2:$A$27)</f>
        <v>1010</v>
      </c>
      <c r="I24" t="str">
        <f t="shared" si="0"/>
        <v>10101208</v>
      </c>
      <c r="K24" s="225" t="s">
        <v>40</v>
      </c>
    </row>
    <row r="25" spans="1:11">
      <c r="A25" s="207">
        <v>24</v>
      </c>
      <c r="B25" s="208" t="s">
        <v>32</v>
      </c>
      <c r="C25" s="208">
        <v>12000009</v>
      </c>
      <c r="D25" s="209" t="s">
        <v>41</v>
      </c>
      <c r="E25" s="36" t="s">
        <v>27</v>
      </c>
      <c r="F25" s="36" t="s">
        <v>14</v>
      </c>
      <c r="G25" s="207">
        <v>1209</v>
      </c>
      <c r="H25" t="str">
        <f>_xlfn.XLOOKUP(B25,[2]Sheet0!$B$2:$B$27,[2]Sheet0!$A$2:$A$27)</f>
        <v>1010</v>
      </c>
      <c r="I25" t="str">
        <f t="shared" si="0"/>
        <v>10101209</v>
      </c>
      <c r="K25" s="225" t="s">
        <v>41</v>
      </c>
    </row>
    <row r="26" spans="1:11">
      <c r="A26" s="207">
        <v>25</v>
      </c>
      <c r="B26" s="208" t="s">
        <v>32</v>
      </c>
      <c r="C26" s="208">
        <v>12000014</v>
      </c>
      <c r="D26" s="209" t="s">
        <v>42</v>
      </c>
      <c r="E26" s="36" t="s">
        <v>27</v>
      </c>
      <c r="F26" s="36" t="s">
        <v>14</v>
      </c>
      <c r="G26" s="207">
        <v>1210</v>
      </c>
      <c r="H26" t="str">
        <f>_xlfn.XLOOKUP(B26,[2]Sheet0!$B$2:$B$27,[2]Sheet0!$A$2:$A$27)</f>
        <v>1010</v>
      </c>
      <c r="I26" t="str">
        <f t="shared" si="0"/>
        <v>10101210</v>
      </c>
      <c r="K26" s="225" t="s">
        <v>42</v>
      </c>
    </row>
    <row r="27" spans="1:11">
      <c r="A27" s="207">
        <v>26</v>
      </c>
      <c r="B27" s="208" t="s">
        <v>32</v>
      </c>
      <c r="C27" s="208">
        <v>12000015</v>
      </c>
      <c r="D27" s="209" t="s">
        <v>43</v>
      </c>
      <c r="E27" s="36" t="s">
        <v>27</v>
      </c>
      <c r="F27" s="36" t="s">
        <v>14</v>
      </c>
      <c r="G27" s="207">
        <v>1211</v>
      </c>
      <c r="H27" t="str">
        <f>_xlfn.XLOOKUP(B27,[2]Sheet0!$B$2:$B$27,[2]Sheet0!$A$2:$A$27)</f>
        <v>1010</v>
      </c>
      <c r="I27" t="str">
        <f t="shared" si="0"/>
        <v>10101211</v>
      </c>
      <c r="K27" s="225" t="s">
        <v>43</v>
      </c>
    </row>
    <row r="28" spans="1:11">
      <c r="A28" s="207">
        <v>27</v>
      </c>
      <c r="B28" s="208" t="s">
        <v>32</v>
      </c>
      <c r="C28" s="208">
        <v>12000016</v>
      </c>
      <c r="D28" s="209" t="s">
        <v>44</v>
      </c>
      <c r="E28" s="36" t="s">
        <v>27</v>
      </c>
      <c r="F28" s="36" t="s">
        <v>14</v>
      </c>
      <c r="G28" s="207">
        <v>1212</v>
      </c>
      <c r="H28" t="str">
        <f>_xlfn.XLOOKUP(B28,[2]Sheet0!$B$2:$B$27,[2]Sheet0!$A$2:$A$27)</f>
        <v>1010</v>
      </c>
      <c r="I28" t="str">
        <f t="shared" si="0"/>
        <v>10101212</v>
      </c>
      <c r="K28" s="225" t="s">
        <v>44</v>
      </c>
    </row>
    <row r="29" spans="1:11">
      <c r="A29" s="207">
        <v>28</v>
      </c>
      <c r="B29" s="208" t="s">
        <v>32</v>
      </c>
      <c r="C29" s="208">
        <v>12000017</v>
      </c>
      <c r="D29" s="209" t="s">
        <v>45</v>
      </c>
      <c r="E29" s="36" t="s">
        <v>27</v>
      </c>
      <c r="F29" s="36" t="s">
        <v>14</v>
      </c>
      <c r="G29" s="207">
        <v>1213</v>
      </c>
      <c r="H29" t="str">
        <f>_xlfn.XLOOKUP(B29,[2]Sheet0!$B$2:$B$27,[2]Sheet0!$A$2:$A$27)</f>
        <v>1010</v>
      </c>
      <c r="I29" t="str">
        <f t="shared" si="0"/>
        <v>10101213</v>
      </c>
      <c r="K29" s="225" t="s">
        <v>45</v>
      </c>
    </row>
    <row r="30" spans="1:11">
      <c r="A30" s="207">
        <v>29</v>
      </c>
      <c r="B30" s="208" t="s">
        <v>32</v>
      </c>
      <c r="C30" s="208">
        <v>12000011</v>
      </c>
      <c r="D30" s="209" t="s">
        <v>46</v>
      </c>
      <c r="E30" s="36" t="s">
        <v>27</v>
      </c>
      <c r="F30" s="36" t="s">
        <v>14</v>
      </c>
      <c r="G30" s="207">
        <v>1214</v>
      </c>
      <c r="H30" t="str">
        <f>_xlfn.XLOOKUP(B30,[2]Sheet0!$B$2:$B$27,[2]Sheet0!$A$2:$A$27)</f>
        <v>1010</v>
      </c>
      <c r="I30" t="str">
        <f t="shared" si="0"/>
        <v>10101214</v>
      </c>
      <c r="K30" s="225" t="s">
        <v>46</v>
      </c>
    </row>
    <row r="31" spans="1:11">
      <c r="A31" s="207">
        <v>30</v>
      </c>
      <c r="B31" s="208" t="s">
        <v>32</v>
      </c>
      <c r="C31" s="208">
        <v>12000010</v>
      </c>
      <c r="D31" s="209" t="s">
        <v>47</v>
      </c>
      <c r="E31" s="36" t="s">
        <v>27</v>
      </c>
      <c r="F31" s="36" t="s">
        <v>14</v>
      </c>
      <c r="G31" s="207">
        <v>1215</v>
      </c>
      <c r="H31" t="str">
        <f>_xlfn.XLOOKUP(B31,[2]Sheet0!$B$2:$B$27,[2]Sheet0!$A$2:$A$27)</f>
        <v>1010</v>
      </c>
      <c r="I31" t="str">
        <f t="shared" si="0"/>
        <v>10101215</v>
      </c>
      <c r="K31" s="225" t="s">
        <v>47</v>
      </c>
    </row>
    <row r="32" spans="1:11">
      <c r="A32" s="207">
        <v>31</v>
      </c>
      <c r="B32" s="208" t="s">
        <v>32</v>
      </c>
      <c r="C32" s="208"/>
      <c r="D32" s="211" t="s">
        <v>48</v>
      </c>
      <c r="E32" s="36" t="s">
        <v>27</v>
      </c>
      <c r="F32" s="36" t="s">
        <v>14</v>
      </c>
      <c r="G32" s="207">
        <v>1216</v>
      </c>
      <c r="H32" t="str">
        <f>_xlfn.XLOOKUP(B32,[2]Sheet0!$B$2:$B$27,[2]Sheet0!$A$2:$A$27)</f>
        <v>1010</v>
      </c>
      <c r="I32" t="str">
        <f t="shared" si="0"/>
        <v>10101216</v>
      </c>
      <c r="K32" s="225" t="s">
        <v>48</v>
      </c>
    </row>
    <row r="33" spans="1:11">
      <c r="A33" s="207">
        <v>32</v>
      </c>
      <c r="B33" s="208" t="s">
        <v>32</v>
      </c>
      <c r="C33" s="227" t="s">
        <v>49</v>
      </c>
      <c r="D33" s="228" t="s">
        <v>50</v>
      </c>
      <c r="E33" s="36" t="s">
        <v>27</v>
      </c>
      <c r="F33" s="36" t="s">
        <v>14</v>
      </c>
      <c r="G33" s="207">
        <v>1217</v>
      </c>
      <c r="H33" t="str">
        <f>_xlfn.XLOOKUP(B33,[2]Sheet0!$B$2:$B$27,[2]Sheet0!$A$2:$A$27)</f>
        <v>1010</v>
      </c>
      <c r="I33" t="str">
        <f t="shared" si="0"/>
        <v>10101217</v>
      </c>
      <c r="K33" s="225" t="s">
        <v>50</v>
      </c>
    </row>
    <row r="34" spans="1:11">
      <c r="A34" s="207">
        <v>33</v>
      </c>
      <c r="B34" s="208" t="s">
        <v>51</v>
      </c>
      <c r="C34" s="208">
        <v>13000001</v>
      </c>
      <c r="D34" s="209" t="s">
        <v>52</v>
      </c>
      <c r="E34" s="36" t="s">
        <v>27</v>
      </c>
      <c r="F34" s="36" t="s">
        <v>14</v>
      </c>
      <c r="G34" s="207">
        <v>1301</v>
      </c>
      <c r="H34" t="str">
        <f>_xlfn.XLOOKUP(B34,[2]Sheet0!$B$2:$B$27,[2]Sheet0!$A$2:$A$27)</f>
        <v>1015</v>
      </c>
      <c r="I34" t="str">
        <f t="shared" si="0"/>
        <v>10151301</v>
      </c>
      <c r="K34" s="225" t="s">
        <v>52</v>
      </c>
    </row>
    <row r="35" spans="1:11">
      <c r="A35" s="207">
        <v>34</v>
      </c>
      <c r="B35" s="208" t="s">
        <v>51</v>
      </c>
      <c r="C35" s="208">
        <v>13000002</v>
      </c>
      <c r="D35" s="212" t="s">
        <v>53</v>
      </c>
      <c r="E35" s="36" t="s">
        <v>27</v>
      </c>
      <c r="F35" s="36" t="s">
        <v>12</v>
      </c>
      <c r="G35" s="207">
        <v>1302</v>
      </c>
      <c r="H35" t="str">
        <f>_xlfn.XLOOKUP(B35,[2]Sheet0!$B$2:$B$27,[2]Sheet0!$A$2:$A$27)</f>
        <v>1015</v>
      </c>
      <c r="I35" t="str">
        <f t="shared" si="0"/>
        <v>10151302</v>
      </c>
      <c r="K35" s="225" t="s">
        <v>53</v>
      </c>
    </row>
    <row r="36" spans="1:11">
      <c r="A36" s="207">
        <v>35</v>
      </c>
      <c r="B36" s="208" t="s">
        <v>51</v>
      </c>
      <c r="C36" s="208">
        <v>13000003</v>
      </c>
      <c r="D36" s="212" t="s">
        <v>54</v>
      </c>
      <c r="E36" s="36" t="s">
        <v>55</v>
      </c>
      <c r="F36" s="36" t="s">
        <v>14</v>
      </c>
      <c r="G36" s="207">
        <v>1303</v>
      </c>
      <c r="H36" t="str">
        <f>_xlfn.XLOOKUP(B36,[2]Sheet0!$B$2:$B$27,[2]Sheet0!$A$2:$A$27)</f>
        <v>1015</v>
      </c>
      <c r="I36" t="str">
        <f t="shared" si="0"/>
        <v>10151303</v>
      </c>
      <c r="K36" s="225" t="s">
        <v>54</v>
      </c>
    </row>
    <row r="37" spans="1:11">
      <c r="A37" s="207">
        <v>36</v>
      </c>
      <c r="B37" s="208" t="s">
        <v>51</v>
      </c>
      <c r="C37" s="208">
        <v>13000004</v>
      </c>
      <c r="D37" s="212" t="s">
        <v>56</v>
      </c>
      <c r="E37" s="36" t="s">
        <v>57</v>
      </c>
      <c r="F37" s="36" t="s">
        <v>14</v>
      </c>
      <c r="G37" s="207">
        <v>1304</v>
      </c>
      <c r="H37" t="str">
        <f>_xlfn.XLOOKUP(B37,[2]Sheet0!$B$2:$B$27,[2]Sheet0!$A$2:$A$27)</f>
        <v>1015</v>
      </c>
      <c r="I37" t="str">
        <f t="shared" si="0"/>
        <v>10151304</v>
      </c>
      <c r="K37" s="225" t="s">
        <v>56</v>
      </c>
    </row>
    <row r="38" spans="1:11">
      <c r="A38" s="207">
        <v>37</v>
      </c>
      <c r="B38" s="208" t="s">
        <v>51</v>
      </c>
      <c r="C38" s="208">
        <v>13000005</v>
      </c>
      <c r="D38" s="212" t="s">
        <v>58</v>
      </c>
      <c r="E38" s="36" t="s">
        <v>59</v>
      </c>
      <c r="F38" s="36" t="s">
        <v>14</v>
      </c>
      <c r="G38" s="207">
        <v>1305</v>
      </c>
      <c r="H38" t="str">
        <f>_xlfn.XLOOKUP(B38,[2]Sheet0!$B$2:$B$27,[2]Sheet0!$A$2:$A$27)</f>
        <v>1015</v>
      </c>
      <c r="I38" t="str">
        <f t="shared" si="0"/>
        <v>10151305</v>
      </c>
      <c r="K38" s="225" t="s">
        <v>58</v>
      </c>
    </row>
    <row r="39" spans="1:11">
      <c r="A39" s="207">
        <v>38</v>
      </c>
      <c r="B39" s="208" t="s">
        <v>51</v>
      </c>
      <c r="C39" s="208">
        <v>13000006</v>
      </c>
      <c r="D39" s="212" t="s">
        <v>60</v>
      </c>
      <c r="E39" s="36" t="s">
        <v>27</v>
      </c>
      <c r="F39" s="36" t="s">
        <v>12</v>
      </c>
      <c r="G39" s="207">
        <v>1306</v>
      </c>
      <c r="H39" t="str">
        <f>_xlfn.XLOOKUP(B39,[2]Sheet0!$B$2:$B$27,[2]Sheet0!$A$2:$A$27)</f>
        <v>1015</v>
      </c>
      <c r="I39" t="str">
        <f t="shared" si="0"/>
        <v>10151306</v>
      </c>
      <c r="K39" s="225" t="s">
        <v>60</v>
      </c>
    </row>
    <row r="40" spans="1:11">
      <c r="A40" s="207">
        <v>39</v>
      </c>
      <c r="B40" s="208" t="s">
        <v>51</v>
      </c>
      <c r="C40" s="208">
        <v>13000007</v>
      </c>
      <c r="D40" s="212" t="s">
        <v>61</v>
      </c>
      <c r="E40" s="36" t="s">
        <v>27</v>
      </c>
      <c r="F40" s="36" t="s">
        <v>12</v>
      </c>
      <c r="G40" s="207">
        <v>1307</v>
      </c>
      <c r="H40" t="str">
        <f>_xlfn.XLOOKUP(B40,[2]Sheet0!$B$2:$B$27,[2]Sheet0!$A$2:$A$27)</f>
        <v>1015</v>
      </c>
      <c r="I40" t="str">
        <f t="shared" si="0"/>
        <v>10151307</v>
      </c>
      <c r="K40" s="225" t="s">
        <v>61</v>
      </c>
    </row>
    <row r="41" spans="1:11">
      <c r="A41" s="207">
        <v>40</v>
      </c>
      <c r="B41" s="208" t="s">
        <v>51</v>
      </c>
      <c r="C41" s="208">
        <v>13000009</v>
      </c>
      <c r="D41" s="212" t="s">
        <v>62</v>
      </c>
      <c r="E41" s="36" t="s">
        <v>27</v>
      </c>
      <c r="F41" s="36" t="s">
        <v>12</v>
      </c>
      <c r="G41" s="207">
        <v>1308</v>
      </c>
      <c r="H41" t="str">
        <f>_xlfn.XLOOKUP(B41,[2]Sheet0!$B$2:$B$27,[2]Sheet0!$A$2:$A$27)</f>
        <v>1015</v>
      </c>
      <c r="I41" t="str">
        <f t="shared" si="0"/>
        <v>10151308</v>
      </c>
      <c r="K41" s="225" t="s">
        <v>62</v>
      </c>
    </row>
    <row r="42" spans="1:11">
      <c r="A42" s="207">
        <v>41</v>
      </c>
      <c r="B42" s="208" t="s">
        <v>51</v>
      </c>
      <c r="C42" s="208">
        <v>13000011</v>
      </c>
      <c r="D42" s="212" t="s">
        <v>63</v>
      </c>
      <c r="E42" s="36" t="s">
        <v>27</v>
      </c>
      <c r="F42" s="36" t="s">
        <v>14</v>
      </c>
      <c r="G42" s="207">
        <v>1309</v>
      </c>
      <c r="H42" t="str">
        <f>_xlfn.XLOOKUP(B42,[2]Sheet0!$B$2:$B$27,[2]Sheet0!$A$2:$A$27)</f>
        <v>1015</v>
      </c>
      <c r="I42" t="str">
        <f t="shared" si="0"/>
        <v>10151309</v>
      </c>
      <c r="K42" s="225" t="s">
        <v>63</v>
      </c>
    </row>
    <row r="43" spans="1:11">
      <c r="A43" s="207">
        <v>42</v>
      </c>
      <c r="B43" s="208" t="s">
        <v>51</v>
      </c>
      <c r="C43" s="208">
        <v>13000012</v>
      </c>
      <c r="D43" s="212" t="s">
        <v>64</v>
      </c>
      <c r="E43" s="36" t="s">
        <v>27</v>
      </c>
      <c r="F43" s="36" t="s">
        <v>14</v>
      </c>
      <c r="G43" s="207">
        <v>1310</v>
      </c>
      <c r="H43" t="str">
        <f>_xlfn.XLOOKUP(B43,[2]Sheet0!$B$2:$B$27,[2]Sheet0!$A$2:$A$27)</f>
        <v>1015</v>
      </c>
      <c r="I43" t="str">
        <f t="shared" si="0"/>
        <v>10151310</v>
      </c>
      <c r="K43" s="225" t="s">
        <v>64</v>
      </c>
    </row>
    <row r="44" spans="1:11">
      <c r="A44" s="207">
        <v>43</v>
      </c>
      <c r="B44" s="208" t="s">
        <v>51</v>
      </c>
      <c r="C44" s="208">
        <v>13000013</v>
      </c>
      <c r="D44" s="212" t="s">
        <v>65</v>
      </c>
      <c r="E44" s="36" t="s">
        <v>27</v>
      </c>
      <c r="F44" s="36" t="s">
        <v>14</v>
      </c>
      <c r="G44" s="207">
        <v>1311</v>
      </c>
      <c r="H44" t="str">
        <f>_xlfn.XLOOKUP(B44,[2]Sheet0!$B$2:$B$27,[2]Sheet0!$A$2:$A$27)</f>
        <v>1015</v>
      </c>
      <c r="I44" t="str">
        <f t="shared" si="0"/>
        <v>10151311</v>
      </c>
      <c r="K44" s="225" t="s">
        <v>65</v>
      </c>
    </row>
    <row r="45" spans="1:11">
      <c r="A45" s="207">
        <v>44</v>
      </c>
      <c r="B45" s="208" t="s">
        <v>51</v>
      </c>
      <c r="C45" s="208">
        <v>13000014</v>
      </c>
      <c r="D45" s="212" t="s">
        <v>66</v>
      </c>
      <c r="E45" s="36" t="s">
        <v>27</v>
      </c>
      <c r="F45" s="36" t="s">
        <v>14</v>
      </c>
      <c r="G45" s="207">
        <v>1312</v>
      </c>
      <c r="H45" t="str">
        <f>_xlfn.XLOOKUP(B45,[2]Sheet0!$B$2:$B$27,[2]Sheet0!$A$2:$A$27)</f>
        <v>1015</v>
      </c>
      <c r="I45" t="str">
        <f t="shared" si="0"/>
        <v>10151312</v>
      </c>
      <c r="K45" s="225" t="s">
        <v>66</v>
      </c>
    </row>
    <row r="46" spans="1:11">
      <c r="A46" s="207">
        <v>45</v>
      </c>
      <c r="B46" s="208" t="s">
        <v>51</v>
      </c>
      <c r="C46" s="208">
        <v>13000015</v>
      </c>
      <c r="D46" s="212" t="s">
        <v>67</v>
      </c>
      <c r="E46" s="36" t="s">
        <v>27</v>
      </c>
      <c r="F46" s="36" t="s">
        <v>14</v>
      </c>
      <c r="G46" s="207">
        <v>1313</v>
      </c>
      <c r="H46" t="str">
        <f>_xlfn.XLOOKUP(B46,[2]Sheet0!$B$2:$B$27,[2]Sheet0!$A$2:$A$27)</f>
        <v>1015</v>
      </c>
      <c r="I46" t="str">
        <f t="shared" si="0"/>
        <v>10151313</v>
      </c>
      <c r="K46" s="225" t="s">
        <v>67</v>
      </c>
    </row>
    <row r="47" spans="1:11">
      <c r="A47" s="207">
        <v>46</v>
      </c>
      <c r="B47" s="208" t="s">
        <v>51</v>
      </c>
      <c r="C47" s="208">
        <v>13000016</v>
      </c>
      <c r="D47" s="212" t="s">
        <v>68</v>
      </c>
      <c r="E47" s="36" t="s">
        <v>27</v>
      </c>
      <c r="F47" s="36" t="s">
        <v>14</v>
      </c>
      <c r="G47" s="207">
        <v>1314</v>
      </c>
      <c r="H47" t="str">
        <f>_xlfn.XLOOKUP(B47,[2]Sheet0!$B$2:$B$27,[2]Sheet0!$A$2:$A$27)</f>
        <v>1015</v>
      </c>
      <c r="I47" t="str">
        <f t="shared" si="0"/>
        <v>10151314</v>
      </c>
      <c r="K47" s="225" t="s">
        <v>68</v>
      </c>
    </row>
    <row r="48" spans="1:11">
      <c r="A48" s="207">
        <v>47</v>
      </c>
      <c r="B48" s="208" t="s">
        <v>51</v>
      </c>
      <c r="C48" s="208">
        <v>13000017</v>
      </c>
      <c r="D48" s="212" t="s">
        <v>69</v>
      </c>
      <c r="E48" s="36" t="s">
        <v>27</v>
      </c>
      <c r="F48" s="36" t="s">
        <v>14</v>
      </c>
      <c r="G48" s="207">
        <v>1315</v>
      </c>
      <c r="H48" t="str">
        <f>_xlfn.XLOOKUP(B48,[2]Sheet0!$B$2:$B$27,[2]Sheet0!$A$2:$A$27)</f>
        <v>1015</v>
      </c>
      <c r="I48" t="str">
        <f t="shared" si="0"/>
        <v>10151315</v>
      </c>
      <c r="K48" s="225" t="s">
        <v>69</v>
      </c>
    </row>
    <row r="49" spans="1:11">
      <c r="A49" s="207">
        <v>48</v>
      </c>
      <c r="B49" s="208" t="s">
        <v>70</v>
      </c>
      <c r="C49" s="208">
        <v>14000001</v>
      </c>
      <c r="D49" s="209" t="s">
        <v>71</v>
      </c>
      <c r="E49" s="36" t="s">
        <v>27</v>
      </c>
      <c r="F49" s="36" t="s">
        <v>14</v>
      </c>
      <c r="G49" s="207">
        <v>1501</v>
      </c>
      <c r="H49" t="str">
        <f>_xlfn.XLOOKUP(B49,[2]Sheet0!$B$2:$B$27,[2]Sheet0!$A$2:$A$27)</f>
        <v>1020</v>
      </c>
      <c r="I49" t="str">
        <f t="shared" si="0"/>
        <v>10201501</v>
      </c>
      <c r="K49" s="225" t="s">
        <v>72</v>
      </c>
    </row>
    <row r="50" spans="1:11">
      <c r="A50" s="207">
        <v>49</v>
      </c>
      <c r="B50" s="208" t="s">
        <v>70</v>
      </c>
      <c r="C50" s="208">
        <v>14000002</v>
      </c>
      <c r="D50" s="209" t="s">
        <v>73</v>
      </c>
      <c r="E50" s="36" t="s">
        <v>27</v>
      </c>
      <c r="F50" s="36" t="s">
        <v>14</v>
      </c>
      <c r="G50" s="207">
        <v>1502</v>
      </c>
      <c r="H50" t="str">
        <f>_xlfn.XLOOKUP(B50,[2]Sheet0!$B$2:$B$27,[2]Sheet0!$A$2:$A$27)</f>
        <v>1020</v>
      </c>
      <c r="I50" t="str">
        <f t="shared" si="0"/>
        <v>10201502</v>
      </c>
      <c r="K50" s="225" t="s">
        <v>74</v>
      </c>
    </row>
    <row r="51" spans="1:11">
      <c r="A51" s="207">
        <v>50</v>
      </c>
      <c r="B51" s="208" t="s">
        <v>70</v>
      </c>
      <c r="C51" s="208">
        <v>14000005</v>
      </c>
      <c r="D51" s="209" t="s">
        <v>75</v>
      </c>
      <c r="E51" s="36" t="s">
        <v>27</v>
      </c>
      <c r="F51" s="36" t="s">
        <v>14</v>
      </c>
      <c r="G51" s="207">
        <v>1503</v>
      </c>
      <c r="H51" t="str">
        <f>_xlfn.XLOOKUP(B51,[2]Sheet0!$B$2:$B$27,[2]Sheet0!$A$2:$A$27)</f>
        <v>1020</v>
      </c>
      <c r="I51" t="str">
        <f t="shared" si="0"/>
        <v>10201503</v>
      </c>
      <c r="K51" s="225" t="s">
        <v>76</v>
      </c>
    </row>
    <row r="52" spans="1:11">
      <c r="A52" s="207">
        <v>51</v>
      </c>
      <c r="B52" s="208" t="s">
        <v>70</v>
      </c>
      <c r="C52" s="208">
        <v>20000020</v>
      </c>
      <c r="D52" s="209" t="s">
        <v>77</v>
      </c>
      <c r="E52" s="36" t="s">
        <v>27</v>
      </c>
      <c r="F52" s="36" t="s">
        <v>14</v>
      </c>
      <c r="G52" s="207">
        <v>1504</v>
      </c>
      <c r="H52" t="str">
        <f>_xlfn.XLOOKUP(B52,[2]Sheet0!$B$2:$B$27,[2]Sheet0!$A$2:$A$27)</f>
        <v>1020</v>
      </c>
      <c r="I52" t="str">
        <f t="shared" si="0"/>
        <v>10201504</v>
      </c>
      <c r="K52" s="225" t="s">
        <v>78</v>
      </c>
    </row>
    <row r="53" spans="1:11">
      <c r="A53" s="207">
        <v>52</v>
      </c>
      <c r="B53" s="208" t="s">
        <v>70</v>
      </c>
      <c r="C53" s="208"/>
      <c r="D53" s="211" t="s">
        <v>79</v>
      </c>
      <c r="E53" s="36" t="s">
        <v>27</v>
      </c>
      <c r="F53" s="36" t="s">
        <v>14</v>
      </c>
      <c r="G53" s="207">
        <v>1505</v>
      </c>
      <c r="H53" t="str">
        <f>_xlfn.XLOOKUP(B53,[2]Sheet0!$B$2:$B$27,[2]Sheet0!$A$2:$A$27)</f>
        <v>1020</v>
      </c>
      <c r="I53" t="str">
        <f t="shared" si="0"/>
        <v>10201505</v>
      </c>
      <c r="K53" s="225" t="s">
        <v>80</v>
      </c>
    </row>
    <row r="54" spans="1:11">
      <c r="A54" s="207">
        <v>53</v>
      </c>
      <c r="B54" s="208" t="s">
        <v>70</v>
      </c>
      <c r="C54" s="208">
        <v>20000021</v>
      </c>
      <c r="D54" s="209" t="s">
        <v>81</v>
      </c>
      <c r="E54" s="36" t="s">
        <v>82</v>
      </c>
      <c r="F54" s="36" t="s">
        <v>12</v>
      </c>
      <c r="G54" s="207">
        <v>1506</v>
      </c>
      <c r="H54" t="str">
        <f>_xlfn.XLOOKUP(B54,[2]Sheet0!$B$2:$B$27,[2]Sheet0!$A$2:$A$27)</f>
        <v>1020</v>
      </c>
      <c r="I54" t="str">
        <f t="shared" si="0"/>
        <v>10201506</v>
      </c>
      <c r="K54" s="225" t="s">
        <v>83</v>
      </c>
    </row>
    <row r="55" spans="1:11">
      <c r="A55" s="207">
        <v>54</v>
      </c>
      <c r="B55" s="208" t="s">
        <v>70</v>
      </c>
      <c r="C55" s="208">
        <v>14000006</v>
      </c>
      <c r="D55" s="209" t="s">
        <v>84</v>
      </c>
      <c r="E55" s="36" t="s">
        <v>82</v>
      </c>
      <c r="F55" s="36" t="s">
        <v>14</v>
      </c>
      <c r="G55" s="207">
        <v>1507</v>
      </c>
      <c r="H55" t="str">
        <f>_xlfn.XLOOKUP(B55,[2]Sheet0!$B$2:$B$27,[2]Sheet0!$A$2:$A$27)</f>
        <v>1020</v>
      </c>
      <c r="I55" t="str">
        <f t="shared" si="0"/>
        <v>10201507</v>
      </c>
      <c r="K55" s="225" t="s">
        <v>85</v>
      </c>
    </row>
    <row r="56" spans="1:11">
      <c r="A56" s="207">
        <v>55</v>
      </c>
      <c r="B56" s="208" t="s">
        <v>70</v>
      </c>
      <c r="C56" s="208">
        <v>14000008</v>
      </c>
      <c r="D56" s="209" t="s">
        <v>86</v>
      </c>
      <c r="E56" s="36" t="s">
        <v>27</v>
      </c>
      <c r="F56" s="36" t="s">
        <v>14</v>
      </c>
      <c r="G56" s="207">
        <v>1508</v>
      </c>
      <c r="H56" t="str">
        <f>_xlfn.XLOOKUP(B56,[2]Sheet0!$B$2:$B$27,[2]Sheet0!$A$2:$A$27)</f>
        <v>1020</v>
      </c>
      <c r="I56" t="str">
        <f t="shared" si="0"/>
        <v>10201508</v>
      </c>
      <c r="K56" s="225" t="s">
        <v>87</v>
      </c>
    </row>
    <row r="57" spans="1:11">
      <c r="A57" s="207">
        <v>56</v>
      </c>
      <c r="B57" s="208" t="s">
        <v>70</v>
      </c>
      <c r="C57" s="208">
        <v>14000009</v>
      </c>
      <c r="D57" s="209" t="s">
        <v>88</v>
      </c>
      <c r="E57" s="36" t="s">
        <v>27</v>
      </c>
      <c r="F57" s="36" t="s">
        <v>14</v>
      </c>
      <c r="G57" s="207">
        <v>1509</v>
      </c>
      <c r="H57" t="str">
        <f>_xlfn.XLOOKUP(B57,[2]Sheet0!$B$2:$B$27,[2]Sheet0!$A$2:$A$27)</f>
        <v>1020</v>
      </c>
      <c r="I57" t="str">
        <f t="shared" si="0"/>
        <v>10201509</v>
      </c>
      <c r="K57" s="225" t="s">
        <v>89</v>
      </c>
    </row>
    <row r="58" spans="1:11">
      <c r="A58" s="207">
        <v>57</v>
      </c>
      <c r="B58" s="208" t="s">
        <v>70</v>
      </c>
      <c r="C58" s="208">
        <v>14000010</v>
      </c>
      <c r="D58" s="209" t="s">
        <v>90</v>
      </c>
      <c r="E58" s="36" t="s">
        <v>82</v>
      </c>
      <c r="F58" s="36" t="s">
        <v>14</v>
      </c>
      <c r="G58" s="207">
        <v>1510</v>
      </c>
      <c r="H58" t="str">
        <f>_xlfn.XLOOKUP(B58,[2]Sheet0!$B$2:$B$27,[2]Sheet0!$A$2:$A$27)</f>
        <v>1020</v>
      </c>
      <c r="I58" t="str">
        <f t="shared" si="0"/>
        <v>10201510</v>
      </c>
      <c r="K58" s="225" t="s">
        <v>91</v>
      </c>
    </row>
    <row r="59" spans="1:11">
      <c r="A59" s="207">
        <v>58</v>
      </c>
      <c r="B59" s="208" t="s">
        <v>70</v>
      </c>
      <c r="C59" s="208">
        <v>14000011</v>
      </c>
      <c r="D59" s="209" t="s">
        <v>92</v>
      </c>
      <c r="E59" s="36" t="s">
        <v>27</v>
      </c>
      <c r="F59" s="36" t="s">
        <v>14</v>
      </c>
      <c r="G59" s="207">
        <v>1511</v>
      </c>
      <c r="H59" t="str">
        <f>_xlfn.XLOOKUP(B59,[2]Sheet0!$B$2:$B$27,[2]Sheet0!$A$2:$A$27)</f>
        <v>1020</v>
      </c>
      <c r="I59" t="str">
        <f t="shared" si="0"/>
        <v>10201511</v>
      </c>
      <c r="K59" s="225" t="s">
        <v>93</v>
      </c>
    </row>
    <row r="60" spans="1:11">
      <c r="A60" s="207">
        <v>59</v>
      </c>
      <c r="B60" s="208" t="s">
        <v>70</v>
      </c>
      <c r="C60" s="208">
        <v>14000012</v>
      </c>
      <c r="D60" s="209" t="s">
        <v>94</v>
      </c>
      <c r="E60" s="36" t="s">
        <v>27</v>
      </c>
      <c r="F60" s="36" t="s">
        <v>14</v>
      </c>
      <c r="G60" s="207">
        <v>1512</v>
      </c>
      <c r="H60" t="str">
        <f>_xlfn.XLOOKUP(B60,[2]Sheet0!$B$2:$B$27,[2]Sheet0!$A$2:$A$27)</f>
        <v>1020</v>
      </c>
      <c r="I60" t="str">
        <f t="shared" si="0"/>
        <v>10201512</v>
      </c>
      <c r="K60" s="225" t="s">
        <v>95</v>
      </c>
    </row>
    <row r="61" spans="1:11">
      <c r="A61" s="207">
        <v>60</v>
      </c>
      <c r="B61" s="208" t="s">
        <v>96</v>
      </c>
      <c r="C61" s="208">
        <v>15000001</v>
      </c>
      <c r="D61" s="209" t="s">
        <v>97</v>
      </c>
      <c r="E61" s="36" t="s">
        <v>98</v>
      </c>
      <c r="F61" s="36" t="s">
        <v>12</v>
      </c>
      <c r="G61" s="207">
        <v>1701</v>
      </c>
      <c r="H61" t="str">
        <f>_xlfn.XLOOKUP(B61,[2]Sheet0!$B$2:$B$27,[2]Sheet0!$A$2:$A$27)</f>
        <v>1025</v>
      </c>
      <c r="I61" t="str">
        <f t="shared" si="0"/>
        <v>10251701</v>
      </c>
      <c r="K61" s="225" t="s">
        <v>99</v>
      </c>
    </row>
    <row r="62" spans="1:11">
      <c r="A62" s="207">
        <v>61</v>
      </c>
      <c r="B62" s="208" t="s">
        <v>96</v>
      </c>
      <c r="C62" s="208">
        <v>15000002</v>
      </c>
      <c r="D62" s="209" t="s">
        <v>100</v>
      </c>
      <c r="E62" s="36" t="s">
        <v>98</v>
      </c>
      <c r="F62" s="36" t="s">
        <v>12</v>
      </c>
      <c r="G62" s="207">
        <v>1702</v>
      </c>
      <c r="H62" t="str">
        <f>_xlfn.XLOOKUP(B62,[2]Sheet0!$B$2:$B$27,[2]Sheet0!$A$2:$A$27)</f>
        <v>1025</v>
      </c>
      <c r="I62" t="str">
        <f t="shared" si="0"/>
        <v>10251702</v>
      </c>
      <c r="K62" s="225" t="s">
        <v>101</v>
      </c>
    </row>
    <row r="63" spans="1:11">
      <c r="A63" s="207">
        <v>62</v>
      </c>
      <c r="B63" s="208" t="s">
        <v>96</v>
      </c>
      <c r="C63" s="208">
        <v>15000003</v>
      </c>
      <c r="D63" s="209" t="s">
        <v>102</v>
      </c>
      <c r="E63" s="36" t="s">
        <v>98</v>
      </c>
      <c r="F63" s="36" t="s">
        <v>12</v>
      </c>
      <c r="G63" s="207">
        <v>1703</v>
      </c>
      <c r="H63" t="str">
        <f>_xlfn.XLOOKUP(B63,[2]Sheet0!$B$2:$B$27,[2]Sheet0!$A$2:$A$27)</f>
        <v>1025</v>
      </c>
      <c r="I63" t="str">
        <f t="shared" si="0"/>
        <v>10251703</v>
      </c>
      <c r="K63" s="225" t="s">
        <v>103</v>
      </c>
    </row>
    <row r="64" spans="1:11">
      <c r="A64" s="207">
        <v>63</v>
      </c>
      <c r="B64" s="208" t="s">
        <v>96</v>
      </c>
      <c r="C64" s="208">
        <v>15000004</v>
      </c>
      <c r="D64" s="209" t="s">
        <v>104</v>
      </c>
      <c r="E64" s="36" t="s">
        <v>98</v>
      </c>
      <c r="F64" s="36" t="s">
        <v>12</v>
      </c>
      <c r="G64" s="207">
        <v>1704</v>
      </c>
      <c r="H64" t="str">
        <f>_xlfn.XLOOKUP(B64,[2]Sheet0!$B$2:$B$27,[2]Sheet0!$A$2:$A$27)</f>
        <v>1025</v>
      </c>
      <c r="I64" t="str">
        <f t="shared" si="0"/>
        <v>10251704</v>
      </c>
      <c r="K64" s="225" t="s">
        <v>105</v>
      </c>
    </row>
    <row r="65" spans="1:11">
      <c r="A65" s="207">
        <v>64</v>
      </c>
      <c r="B65" s="208" t="s">
        <v>96</v>
      </c>
      <c r="C65" s="208">
        <v>15000005</v>
      </c>
      <c r="D65" s="209" t="s">
        <v>106</v>
      </c>
      <c r="E65" s="36" t="s">
        <v>98</v>
      </c>
      <c r="F65" s="36" t="s">
        <v>12</v>
      </c>
      <c r="G65" s="207">
        <v>1705</v>
      </c>
      <c r="H65" t="str">
        <f>_xlfn.XLOOKUP(B65,[2]Sheet0!$B$2:$B$27,[2]Sheet0!$A$2:$A$27)</f>
        <v>1025</v>
      </c>
      <c r="I65" t="str">
        <f t="shared" si="0"/>
        <v>10251705</v>
      </c>
      <c r="K65" s="225" t="s">
        <v>71</v>
      </c>
    </row>
    <row r="66" spans="1:11">
      <c r="A66" s="207">
        <v>65</v>
      </c>
      <c r="B66" s="208" t="s">
        <v>96</v>
      </c>
      <c r="C66" s="208">
        <v>15000006</v>
      </c>
      <c r="D66" s="209" t="s">
        <v>107</v>
      </c>
      <c r="E66" s="36" t="s">
        <v>98</v>
      </c>
      <c r="F66" s="36" t="s">
        <v>12</v>
      </c>
      <c r="G66" s="207">
        <v>1706</v>
      </c>
      <c r="H66" t="str">
        <f>_xlfn.XLOOKUP(B66,[2]Sheet0!$B$2:$B$27,[2]Sheet0!$A$2:$A$27)</f>
        <v>1025</v>
      </c>
      <c r="I66" t="str">
        <f t="shared" si="0"/>
        <v>10251706</v>
      </c>
      <c r="K66" s="225" t="s">
        <v>73</v>
      </c>
    </row>
    <row r="67" spans="1:11">
      <c r="A67" s="207">
        <v>66</v>
      </c>
      <c r="B67" s="208" t="s">
        <v>96</v>
      </c>
      <c r="C67" s="208">
        <v>15000007</v>
      </c>
      <c r="D67" s="209" t="s">
        <v>108</v>
      </c>
      <c r="E67" s="36" t="s">
        <v>98</v>
      </c>
      <c r="F67" s="36" t="s">
        <v>12</v>
      </c>
      <c r="G67" s="207">
        <v>1707</v>
      </c>
      <c r="H67" t="str">
        <f>_xlfn.XLOOKUP(B67,[2]Sheet0!$B$2:$B$27,[2]Sheet0!$A$2:$A$27)</f>
        <v>1025</v>
      </c>
      <c r="I67" t="str">
        <f t="shared" ref="I67:I130" si="1">H67&amp;G67</f>
        <v>10251707</v>
      </c>
      <c r="K67" s="225" t="s">
        <v>75</v>
      </c>
    </row>
    <row r="68" spans="1:11">
      <c r="A68" s="207">
        <v>67</v>
      </c>
      <c r="B68" s="208" t="s">
        <v>96</v>
      </c>
      <c r="C68" s="208">
        <v>15000008</v>
      </c>
      <c r="D68" s="209" t="s">
        <v>109</v>
      </c>
      <c r="E68" s="36" t="s">
        <v>98</v>
      </c>
      <c r="F68" s="36" t="s">
        <v>12</v>
      </c>
      <c r="G68" s="207">
        <v>1708</v>
      </c>
      <c r="H68" t="str">
        <f>_xlfn.XLOOKUP(B68,[2]Sheet0!$B$2:$B$27,[2]Sheet0!$A$2:$A$27)</f>
        <v>1025</v>
      </c>
      <c r="I68" t="str">
        <f t="shared" si="1"/>
        <v>10251708</v>
      </c>
      <c r="K68" s="225" t="s">
        <v>77</v>
      </c>
    </row>
    <row r="69" spans="1:11">
      <c r="A69" s="207">
        <v>68</v>
      </c>
      <c r="B69" s="208" t="s">
        <v>96</v>
      </c>
      <c r="C69" s="208">
        <v>15000009</v>
      </c>
      <c r="D69" s="209" t="s">
        <v>110</v>
      </c>
      <c r="E69" s="36" t="s">
        <v>98</v>
      </c>
      <c r="F69" s="36" t="s">
        <v>12</v>
      </c>
      <c r="G69" s="207">
        <v>1709</v>
      </c>
      <c r="H69" t="str">
        <f>_xlfn.XLOOKUP(B69,[2]Sheet0!$B$2:$B$27,[2]Sheet0!$A$2:$A$27)</f>
        <v>1025</v>
      </c>
      <c r="I69" t="str">
        <f t="shared" si="1"/>
        <v>10251709</v>
      </c>
      <c r="K69" s="225" t="s">
        <v>79</v>
      </c>
    </row>
    <row r="70" spans="1:11">
      <c r="A70" s="207">
        <v>69</v>
      </c>
      <c r="B70" s="208" t="s">
        <v>96</v>
      </c>
      <c r="C70" s="208">
        <v>15000010</v>
      </c>
      <c r="D70" s="209" t="s">
        <v>111</v>
      </c>
      <c r="E70" s="36" t="s">
        <v>98</v>
      </c>
      <c r="F70" s="36" t="s">
        <v>12</v>
      </c>
      <c r="G70" s="207">
        <v>1710</v>
      </c>
      <c r="H70" t="str">
        <f>_xlfn.XLOOKUP(B70,[2]Sheet0!$B$2:$B$27,[2]Sheet0!$A$2:$A$27)</f>
        <v>1025</v>
      </c>
      <c r="I70" t="str">
        <f t="shared" si="1"/>
        <v>10251710</v>
      </c>
      <c r="K70" s="225" t="s">
        <v>81</v>
      </c>
    </row>
    <row r="71" spans="1:11">
      <c r="A71" s="207">
        <v>70</v>
      </c>
      <c r="B71" s="208" t="s">
        <v>96</v>
      </c>
      <c r="C71" s="208">
        <v>15000011</v>
      </c>
      <c r="D71" s="209" t="s">
        <v>112</v>
      </c>
      <c r="E71" s="36" t="s">
        <v>98</v>
      </c>
      <c r="F71" s="36" t="s">
        <v>12</v>
      </c>
      <c r="G71" s="207">
        <v>1711</v>
      </c>
      <c r="H71" t="str">
        <f>_xlfn.XLOOKUP(B71,[2]Sheet0!$B$2:$B$27,[2]Sheet0!$A$2:$A$27)</f>
        <v>1025</v>
      </c>
      <c r="I71" t="str">
        <f t="shared" si="1"/>
        <v>10251711</v>
      </c>
      <c r="K71" s="225" t="s">
        <v>84</v>
      </c>
    </row>
    <row r="72" spans="1:11">
      <c r="A72" s="207">
        <v>71</v>
      </c>
      <c r="B72" s="208" t="s">
        <v>96</v>
      </c>
      <c r="C72" s="208">
        <v>15000012</v>
      </c>
      <c r="D72" s="209" t="s">
        <v>113</v>
      </c>
      <c r="E72" s="36" t="s">
        <v>98</v>
      </c>
      <c r="F72" s="36" t="s">
        <v>12</v>
      </c>
      <c r="G72" s="207">
        <v>1712</v>
      </c>
      <c r="H72" t="str">
        <f>_xlfn.XLOOKUP(B72,[2]Sheet0!$B$2:$B$27,[2]Sheet0!$A$2:$A$27)</f>
        <v>1025</v>
      </c>
      <c r="I72" t="str">
        <f t="shared" si="1"/>
        <v>10251712</v>
      </c>
      <c r="K72" s="225" t="s">
        <v>86</v>
      </c>
    </row>
    <row r="73" spans="1:11">
      <c r="A73" s="207">
        <v>72</v>
      </c>
      <c r="B73" s="208" t="s">
        <v>96</v>
      </c>
      <c r="C73" s="208">
        <v>15000013</v>
      </c>
      <c r="D73" s="209" t="s">
        <v>114</v>
      </c>
      <c r="E73" s="36" t="s">
        <v>98</v>
      </c>
      <c r="F73" s="36" t="s">
        <v>12</v>
      </c>
      <c r="G73" s="207">
        <v>1713</v>
      </c>
      <c r="H73" t="str">
        <f>_xlfn.XLOOKUP(B73,[2]Sheet0!$B$2:$B$27,[2]Sheet0!$A$2:$A$27)</f>
        <v>1025</v>
      </c>
      <c r="I73" t="str">
        <f t="shared" si="1"/>
        <v>10251713</v>
      </c>
      <c r="K73" s="225" t="s">
        <v>88</v>
      </c>
    </row>
    <row r="74" spans="1:11">
      <c r="A74" s="207">
        <v>73</v>
      </c>
      <c r="B74" s="208" t="s">
        <v>96</v>
      </c>
      <c r="C74" s="208">
        <v>15000014</v>
      </c>
      <c r="D74" s="209" t="s">
        <v>115</v>
      </c>
      <c r="E74" s="36" t="s">
        <v>98</v>
      </c>
      <c r="F74" s="36" t="s">
        <v>12</v>
      </c>
      <c r="G74" s="207">
        <v>1714</v>
      </c>
      <c r="H74" t="str">
        <f>_xlfn.XLOOKUP(B74,[2]Sheet0!$B$2:$B$27,[2]Sheet0!$A$2:$A$27)</f>
        <v>1025</v>
      </c>
      <c r="I74" t="str">
        <f t="shared" si="1"/>
        <v>10251714</v>
      </c>
      <c r="K74" s="225" t="s">
        <v>90</v>
      </c>
    </row>
    <row r="75" spans="1:11">
      <c r="A75" s="207">
        <v>74</v>
      </c>
      <c r="B75" s="208" t="s">
        <v>116</v>
      </c>
      <c r="C75" s="208">
        <v>16000001</v>
      </c>
      <c r="D75" s="209" t="s">
        <v>117</v>
      </c>
      <c r="E75" s="36" t="s">
        <v>98</v>
      </c>
      <c r="F75" s="36" t="s">
        <v>14</v>
      </c>
      <c r="G75" s="207">
        <v>1801</v>
      </c>
      <c r="H75" t="str">
        <f>_xlfn.XLOOKUP(B75,[2]Sheet0!$B$2:$B$27,[2]Sheet0!$A$2:$A$27)</f>
        <v>1026</v>
      </c>
      <c r="I75" t="str">
        <f t="shared" si="1"/>
        <v>10261801</v>
      </c>
      <c r="K75" s="225" t="s">
        <v>92</v>
      </c>
    </row>
    <row r="76" spans="1:11">
      <c r="A76" s="207">
        <v>75</v>
      </c>
      <c r="B76" s="208" t="s">
        <v>116</v>
      </c>
      <c r="C76" s="208">
        <v>16000002</v>
      </c>
      <c r="D76" s="209" t="s">
        <v>118</v>
      </c>
      <c r="E76" s="36" t="s">
        <v>98</v>
      </c>
      <c r="F76" s="36" t="s">
        <v>14</v>
      </c>
      <c r="G76" s="207">
        <v>1802</v>
      </c>
      <c r="H76" t="str">
        <f>_xlfn.XLOOKUP(B76,[2]Sheet0!$B$2:$B$27,[2]Sheet0!$A$2:$A$27)</f>
        <v>1026</v>
      </c>
      <c r="I76" t="str">
        <f t="shared" si="1"/>
        <v>10261802</v>
      </c>
      <c r="K76" s="225" t="s">
        <v>94</v>
      </c>
    </row>
    <row r="77" spans="1:11">
      <c r="A77" s="207">
        <v>76</v>
      </c>
      <c r="B77" s="208" t="s">
        <v>116</v>
      </c>
      <c r="C77" s="208">
        <v>16000003</v>
      </c>
      <c r="D77" s="209" t="s">
        <v>119</v>
      </c>
      <c r="E77" s="36" t="s">
        <v>98</v>
      </c>
      <c r="F77" s="36" t="s">
        <v>14</v>
      </c>
      <c r="G77" s="207">
        <v>1803</v>
      </c>
      <c r="H77" t="str">
        <f>_xlfn.XLOOKUP(B77,[2]Sheet0!$B$2:$B$27,[2]Sheet0!$A$2:$A$27)</f>
        <v>1026</v>
      </c>
      <c r="I77" t="str">
        <f t="shared" si="1"/>
        <v>10261803</v>
      </c>
      <c r="K77" s="225" t="s">
        <v>120</v>
      </c>
    </row>
    <row r="78" spans="1:11">
      <c r="A78" s="207">
        <v>77</v>
      </c>
      <c r="B78" s="208" t="s">
        <v>116</v>
      </c>
      <c r="C78" s="208">
        <v>16000004</v>
      </c>
      <c r="D78" s="209" t="s">
        <v>121</v>
      </c>
      <c r="E78" s="36" t="s">
        <v>98</v>
      </c>
      <c r="F78" s="36" t="s">
        <v>14</v>
      </c>
      <c r="G78" s="207">
        <v>1804</v>
      </c>
      <c r="H78" t="str">
        <f>_xlfn.XLOOKUP(B78,[2]Sheet0!$B$2:$B$27,[2]Sheet0!$A$2:$A$27)</f>
        <v>1026</v>
      </c>
      <c r="I78" t="str">
        <f t="shared" si="1"/>
        <v>10261804</v>
      </c>
      <c r="K78" s="225" t="s">
        <v>122</v>
      </c>
    </row>
    <row r="79" spans="1:11">
      <c r="A79" s="207">
        <v>78</v>
      </c>
      <c r="B79" s="208" t="s">
        <v>116</v>
      </c>
      <c r="C79" s="208">
        <v>16000005</v>
      </c>
      <c r="D79" s="209" t="s">
        <v>123</v>
      </c>
      <c r="E79" s="36" t="s">
        <v>98</v>
      </c>
      <c r="F79" s="36" t="s">
        <v>14</v>
      </c>
      <c r="G79" s="207">
        <v>1805</v>
      </c>
      <c r="H79" t="str">
        <f>_xlfn.XLOOKUP(B79,[2]Sheet0!$B$2:$B$27,[2]Sheet0!$A$2:$A$27)</f>
        <v>1026</v>
      </c>
      <c r="I79" t="str">
        <f t="shared" si="1"/>
        <v>10261805</v>
      </c>
      <c r="K79" s="225" t="s">
        <v>124</v>
      </c>
    </row>
    <row r="80" spans="1:11">
      <c r="A80" s="207">
        <v>79</v>
      </c>
      <c r="B80" s="208" t="s">
        <v>116</v>
      </c>
      <c r="C80" s="208">
        <v>16000006</v>
      </c>
      <c r="D80" s="209" t="s">
        <v>125</v>
      </c>
      <c r="E80" s="36" t="s">
        <v>98</v>
      </c>
      <c r="F80" s="36" t="s">
        <v>14</v>
      </c>
      <c r="G80" s="207">
        <v>1806</v>
      </c>
      <c r="H80" t="str">
        <f>_xlfn.XLOOKUP(B80,[2]Sheet0!$B$2:$B$27,[2]Sheet0!$A$2:$A$27)</f>
        <v>1026</v>
      </c>
      <c r="I80" t="str">
        <f t="shared" si="1"/>
        <v>10261806</v>
      </c>
      <c r="K80" s="225" t="s">
        <v>126</v>
      </c>
    </row>
    <row r="81" spans="1:11">
      <c r="A81" s="207">
        <v>80</v>
      </c>
      <c r="B81" s="208" t="s">
        <v>116</v>
      </c>
      <c r="C81" s="208">
        <v>16000007</v>
      </c>
      <c r="D81" s="209" t="s">
        <v>127</v>
      </c>
      <c r="E81" s="36" t="s">
        <v>98</v>
      </c>
      <c r="F81" s="36" t="s">
        <v>12</v>
      </c>
      <c r="G81" s="207">
        <v>1807</v>
      </c>
      <c r="H81" t="str">
        <f>_xlfn.XLOOKUP(B81,[2]Sheet0!$B$2:$B$27,[2]Sheet0!$A$2:$A$27)</f>
        <v>1026</v>
      </c>
      <c r="I81" t="str">
        <f t="shared" si="1"/>
        <v>10261807</v>
      </c>
      <c r="K81" s="225" t="s">
        <v>128</v>
      </c>
    </row>
    <row r="82" spans="1:11">
      <c r="A82" s="207">
        <v>81</v>
      </c>
      <c r="B82" s="208" t="s">
        <v>116</v>
      </c>
      <c r="C82" s="208">
        <v>16000008</v>
      </c>
      <c r="D82" s="209" t="s">
        <v>129</v>
      </c>
      <c r="E82" s="36" t="s">
        <v>98</v>
      </c>
      <c r="F82" s="36" t="s">
        <v>14</v>
      </c>
      <c r="G82" s="207">
        <v>1808</v>
      </c>
      <c r="H82" t="str">
        <f>_xlfn.XLOOKUP(B82,[2]Sheet0!$B$2:$B$27,[2]Sheet0!$A$2:$A$27)</f>
        <v>1026</v>
      </c>
      <c r="I82" t="str">
        <f t="shared" si="1"/>
        <v>10261808</v>
      </c>
      <c r="K82" s="225" t="s">
        <v>97</v>
      </c>
    </row>
    <row r="83" spans="1:11">
      <c r="A83" s="207">
        <v>82</v>
      </c>
      <c r="B83" s="208" t="s">
        <v>116</v>
      </c>
      <c r="C83" s="208">
        <v>16000009</v>
      </c>
      <c r="D83" s="209" t="s">
        <v>130</v>
      </c>
      <c r="E83" s="36" t="s">
        <v>98</v>
      </c>
      <c r="F83" s="36" t="s">
        <v>14</v>
      </c>
      <c r="G83" s="207">
        <v>1809</v>
      </c>
      <c r="H83" t="str">
        <f>_xlfn.XLOOKUP(B83,[2]Sheet0!$B$2:$B$27,[2]Sheet0!$A$2:$A$27)</f>
        <v>1026</v>
      </c>
      <c r="I83" t="str">
        <f t="shared" si="1"/>
        <v>10261809</v>
      </c>
      <c r="K83" s="225" t="s">
        <v>100</v>
      </c>
    </row>
    <row r="84" spans="1:11">
      <c r="A84" s="207">
        <v>83</v>
      </c>
      <c r="B84" s="208" t="s">
        <v>116</v>
      </c>
      <c r="C84" s="208">
        <v>16000010</v>
      </c>
      <c r="D84" s="209" t="s">
        <v>131</v>
      </c>
      <c r="E84" s="36" t="s">
        <v>98</v>
      </c>
      <c r="F84" s="36" t="s">
        <v>14</v>
      </c>
      <c r="G84" s="207">
        <v>1810</v>
      </c>
      <c r="H84" t="str">
        <f>_xlfn.XLOOKUP(B84,[2]Sheet0!$B$2:$B$27,[2]Sheet0!$A$2:$A$27)</f>
        <v>1026</v>
      </c>
      <c r="I84" t="str">
        <f t="shared" si="1"/>
        <v>10261810</v>
      </c>
      <c r="K84" s="225" t="s">
        <v>102</v>
      </c>
    </row>
    <row r="85" spans="1:11">
      <c r="A85" s="207">
        <v>84</v>
      </c>
      <c r="B85" s="208" t="s">
        <v>116</v>
      </c>
      <c r="C85" s="208">
        <v>16000011</v>
      </c>
      <c r="D85" s="209" t="s">
        <v>132</v>
      </c>
      <c r="E85" s="36" t="s">
        <v>98</v>
      </c>
      <c r="F85" s="36" t="s">
        <v>14</v>
      </c>
      <c r="G85" s="207">
        <v>1811</v>
      </c>
      <c r="H85" t="str">
        <f>_xlfn.XLOOKUP(B85,[2]Sheet0!$B$2:$B$27,[2]Sheet0!$A$2:$A$27)</f>
        <v>1026</v>
      </c>
      <c r="I85" t="str">
        <f t="shared" si="1"/>
        <v>10261811</v>
      </c>
      <c r="K85" s="225" t="s">
        <v>104</v>
      </c>
    </row>
    <row r="86" spans="1:11">
      <c r="A86" s="207">
        <v>85</v>
      </c>
      <c r="B86" s="208" t="s">
        <v>116</v>
      </c>
      <c r="C86" s="208">
        <v>16000012</v>
      </c>
      <c r="D86" s="209" t="s">
        <v>133</v>
      </c>
      <c r="E86" s="36" t="s">
        <v>98</v>
      </c>
      <c r="F86" s="36" t="s">
        <v>14</v>
      </c>
      <c r="G86" s="207">
        <v>1812</v>
      </c>
      <c r="H86" t="str">
        <f>_xlfn.XLOOKUP(B86,[2]Sheet0!$B$2:$B$27,[2]Sheet0!$A$2:$A$27)</f>
        <v>1026</v>
      </c>
      <c r="I86" t="str">
        <f t="shared" si="1"/>
        <v>10261812</v>
      </c>
      <c r="K86" s="225" t="s">
        <v>106</v>
      </c>
    </row>
    <row r="87" spans="1:11">
      <c r="A87" s="207">
        <v>86</v>
      </c>
      <c r="B87" s="208" t="s">
        <v>116</v>
      </c>
      <c r="C87" s="208">
        <v>16000013</v>
      </c>
      <c r="D87" s="209" t="s">
        <v>134</v>
      </c>
      <c r="E87" s="36" t="s">
        <v>98</v>
      </c>
      <c r="F87" s="36" t="s">
        <v>14</v>
      </c>
      <c r="G87" s="207">
        <v>1813</v>
      </c>
      <c r="H87" t="str">
        <f>_xlfn.XLOOKUP(B87,[2]Sheet0!$B$2:$B$27,[2]Sheet0!$A$2:$A$27)</f>
        <v>1026</v>
      </c>
      <c r="I87" t="str">
        <f t="shared" si="1"/>
        <v>10261813</v>
      </c>
      <c r="K87" s="225" t="s">
        <v>107</v>
      </c>
    </row>
    <row r="88" spans="1:11">
      <c r="A88" s="207">
        <v>87</v>
      </c>
      <c r="B88" s="208" t="s">
        <v>116</v>
      </c>
      <c r="C88" s="208">
        <v>16000014</v>
      </c>
      <c r="D88" s="209" t="s">
        <v>135</v>
      </c>
      <c r="E88" s="36" t="s">
        <v>98</v>
      </c>
      <c r="F88" s="36" t="s">
        <v>12</v>
      </c>
      <c r="G88" s="207">
        <v>1814</v>
      </c>
      <c r="H88" t="str">
        <f>_xlfn.XLOOKUP(B88,[2]Sheet0!$B$2:$B$27,[2]Sheet0!$A$2:$A$27)</f>
        <v>1026</v>
      </c>
      <c r="I88" t="str">
        <f t="shared" si="1"/>
        <v>10261814</v>
      </c>
      <c r="K88" s="225" t="s">
        <v>108</v>
      </c>
    </row>
    <row r="89" spans="1:11">
      <c r="A89" s="207">
        <v>88</v>
      </c>
      <c r="B89" s="208" t="s">
        <v>136</v>
      </c>
      <c r="C89" s="208">
        <v>17000001</v>
      </c>
      <c r="D89" s="209" t="s">
        <v>137</v>
      </c>
      <c r="E89" s="36" t="s">
        <v>27</v>
      </c>
      <c r="F89" s="36" t="s">
        <v>12</v>
      </c>
      <c r="G89" s="207">
        <v>1901</v>
      </c>
      <c r="H89" t="str">
        <f>_xlfn.XLOOKUP(B89,[2]Sheet0!$B$2:$B$27,[2]Sheet0!$A$2:$A$27)</f>
        <v>1030</v>
      </c>
      <c r="I89" t="str">
        <f t="shared" si="1"/>
        <v>10301901</v>
      </c>
      <c r="K89" s="225" t="s">
        <v>109</v>
      </c>
    </row>
    <row r="90" spans="1:11">
      <c r="A90" s="207">
        <v>89</v>
      </c>
      <c r="B90" s="208" t="s">
        <v>136</v>
      </c>
      <c r="C90" s="208">
        <v>17000002</v>
      </c>
      <c r="D90" s="209" t="s">
        <v>138</v>
      </c>
      <c r="E90" s="36" t="s">
        <v>27</v>
      </c>
      <c r="F90" s="36" t="s">
        <v>14</v>
      </c>
      <c r="G90" s="207">
        <v>1902</v>
      </c>
      <c r="H90" t="str">
        <f>_xlfn.XLOOKUP(B90,[2]Sheet0!$B$2:$B$27,[2]Sheet0!$A$2:$A$27)</f>
        <v>1030</v>
      </c>
      <c r="I90" t="str">
        <f t="shared" si="1"/>
        <v>10301902</v>
      </c>
      <c r="K90" s="225" t="s">
        <v>110</v>
      </c>
    </row>
    <row r="91" spans="1:11">
      <c r="A91" s="207">
        <v>90</v>
      </c>
      <c r="B91" s="208" t="s">
        <v>136</v>
      </c>
      <c r="C91" s="208">
        <v>17000003</v>
      </c>
      <c r="D91" s="209" t="s">
        <v>139</v>
      </c>
      <c r="E91" s="36" t="s">
        <v>27</v>
      </c>
      <c r="F91" s="36" t="s">
        <v>14</v>
      </c>
      <c r="G91" s="207">
        <v>1903</v>
      </c>
      <c r="H91" t="str">
        <f>_xlfn.XLOOKUP(B91,[2]Sheet0!$B$2:$B$27,[2]Sheet0!$A$2:$A$27)</f>
        <v>1030</v>
      </c>
      <c r="I91" t="str">
        <f t="shared" si="1"/>
        <v>10301903</v>
      </c>
      <c r="K91" s="225" t="s">
        <v>111</v>
      </c>
    </row>
    <row r="92" spans="1:11">
      <c r="A92" s="207">
        <v>91</v>
      </c>
      <c r="B92" s="208" t="s">
        <v>136</v>
      </c>
      <c r="C92" s="208">
        <v>17000004</v>
      </c>
      <c r="D92" s="209" t="s">
        <v>140</v>
      </c>
      <c r="E92" s="36" t="s">
        <v>27</v>
      </c>
      <c r="F92" s="36" t="s">
        <v>14</v>
      </c>
      <c r="G92" s="207">
        <v>1904</v>
      </c>
      <c r="H92" t="str">
        <f>_xlfn.XLOOKUP(B92,[2]Sheet0!$B$2:$B$27,[2]Sheet0!$A$2:$A$27)</f>
        <v>1030</v>
      </c>
      <c r="I92" t="str">
        <f t="shared" si="1"/>
        <v>10301904</v>
      </c>
      <c r="K92" s="225" t="s">
        <v>112</v>
      </c>
    </row>
    <row r="93" spans="1:11">
      <c r="A93" s="207">
        <v>92</v>
      </c>
      <c r="B93" s="208" t="s">
        <v>136</v>
      </c>
      <c r="C93" s="208">
        <v>17000005</v>
      </c>
      <c r="D93" s="209" t="s">
        <v>141</v>
      </c>
      <c r="E93" s="36" t="s">
        <v>27</v>
      </c>
      <c r="F93" s="36" t="s">
        <v>14</v>
      </c>
      <c r="G93" s="207">
        <v>1905</v>
      </c>
      <c r="H93" t="str">
        <f>_xlfn.XLOOKUP(B93,[2]Sheet0!$B$2:$B$27,[2]Sheet0!$A$2:$A$27)</f>
        <v>1030</v>
      </c>
      <c r="I93" t="str">
        <f t="shared" si="1"/>
        <v>10301905</v>
      </c>
      <c r="K93" s="225" t="s">
        <v>113</v>
      </c>
    </row>
    <row r="94" spans="1:11">
      <c r="A94" s="207">
        <v>93</v>
      </c>
      <c r="B94" s="208" t="s">
        <v>136</v>
      </c>
      <c r="C94" s="208">
        <v>17000006</v>
      </c>
      <c r="D94" s="209" t="s">
        <v>142</v>
      </c>
      <c r="E94" s="36" t="s">
        <v>27</v>
      </c>
      <c r="F94" s="36" t="s">
        <v>14</v>
      </c>
      <c r="G94" s="207">
        <v>1906</v>
      </c>
      <c r="H94" t="str">
        <f>_xlfn.XLOOKUP(B94,[2]Sheet0!$B$2:$B$27,[2]Sheet0!$A$2:$A$27)</f>
        <v>1030</v>
      </c>
      <c r="I94" t="str">
        <f t="shared" si="1"/>
        <v>10301906</v>
      </c>
      <c r="K94" s="225" t="s">
        <v>114</v>
      </c>
    </row>
    <row r="95" spans="1:11">
      <c r="A95" s="207">
        <v>94</v>
      </c>
      <c r="B95" s="208" t="s">
        <v>136</v>
      </c>
      <c r="C95" s="208">
        <v>17000007</v>
      </c>
      <c r="D95" s="209" t="s">
        <v>143</v>
      </c>
      <c r="E95" s="36" t="s">
        <v>27</v>
      </c>
      <c r="F95" s="36" t="s">
        <v>14</v>
      </c>
      <c r="G95" s="207">
        <v>1907</v>
      </c>
      <c r="H95" t="str">
        <f>_xlfn.XLOOKUP(B95,[2]Sheet0!$B$2:$B$27,[2]Sheet0!$A$2:$A$27)</f>
        <v>1030</v>
      </c>
      <c r="I95" t="str">
        <f t="shared" si="1"/>
        <v>10301907</v>
      </c>
      <c r="K95" s="225" t="s">
        <v>115</v>
      </c>
    </row>
    <row r="96" spans="1:11">
      <c r="A96" s="207">
        <v>95</v>
      </c>
      <c r="B96" s="208" t="s">
        <v>144</v>
      </c>
      <c r="C96" s="208">
        <v>18000001</v>
      </c>
      <c r="D96" s="209" t="s">
        <v>145</v>
      </c>
      <c r="E96" s="36" t="s">
        <v>27</v>
      </c>
      <c r="F96" s="36" t="s">
        <v>12</v>
      </c>
      <c r="G96" s="207">
        <v>2001</v>
      </c>
      <c r="H96" t="str">
        <f>_xlfn.XLOOKUP(B96,[2]Sheet0!$B$2:$B$27,[2]Sheet0!$A$2:$A$27)</f>
        <v>1031</v>
      </c>
      <c r="I96" t="str">
        <f t="shared" si="1"/>
        <v>10312001</v>
      </c>
      <c r="K96" s="225" t="s">
        <v>117</v>
      </c>
    </row>
    <row r="97" spans="1:11">
      <c r="A97" s="207">
        <v>96</v>
      </c>
      <c r="B97" s="208" t="s">
        <v>144</v>
      </c>
      <c r="C97" s="208">
        <v>18000002</v>
      </c>
      <c r="D97" s="209" t="s">
        <v>146</v>
      </c>
      <c r="E97" s="36" t="s">
        <v>27</v>
      </c>
      <c r="F97" s="36" t="s">
        <v>14</v>
      </c>
      <c r="G97" s="207">
        <v>2002</v>
      </c>
      <c r="H97" t="str">
        <f>_xlfn.XLOOKUP(B97,[2]Sheet0!$B$2:$B$27,[2]Sheet0!$A$2:$A$27)</f>
        <v>1031</v>
      </c>
      <c r="I97" t="str">
        <f t="shared" si="1"/>
        <v>10312002</v>
      </c>
      <c r="K97" s="225" t="s">
        <v>118</v>
      </c>
    </row>
    <row r="98" spans="1:11">
      <c r="A98" s="207">
        <v>97</v>
      </c>
      <c r="B98" s="208" t="s">
        <v>144</v>
      </c>
      <c r="C98" s="208">
        <v>18000003</v>
      </c>
      <c r="D98" s="209" t="s">
        <v>147</v>
      </c>
      <c r="E98" s="36" t="s">
        <v>27</v>
      </c>
      <c r="F98" s="36" t="s">
        <v>14</v>
      </c>
      <c r="G98" s="207">
        <v>2003</v>
      </c>
      <c r="H98" t="str">
        <f>_xlfn.XLOOKUP(B98,[2]Sheet0!$B$2:$B$27,[2]Sheet0!$A$2:$A$27)</f>
        <v>1031</v>
      </c>
      <c r="I98" t="str">
        <f t="shared" si="1"/>
        <v>10312003</v>
      </c>
      <c r="K98" s="225" t="s">
        <v>119</v>
      </c>
    </row>
    <row r="99" spans="1:11">
      <c r="A99" s="207">
        <v>98</v>
      </c>
      <c r="B99" s="208" t="s">
        <v>144</v>
      </c>
      <c r="C99" s="208">
        <v>18000004</v>
      </c>
      <c r="D99" s="209" t="s">
        <v>148</v>
      </c>
      <c r="E99" s="36" t="s">
        <v>27</v>
      </c>
      <c r="F99" s="36" t="s">
        <v>14</v>
      </c>
      <c r="G99" s="207">
        <v>2004</v>
      </c>
      <c r="H99" t="str">
        <f>_xlfn.XLOOKUP(B99,[2]Sheet0!$B$2:$B$27,[2]Sheet0!$A$2:$A$27)</f>
        <v>1031</v>
      </c>
      <c r="I99" t="str">
        <f t="shared" si="1"/>
        <v>10312004</v>
      </c>
      <c r="K99" s="225" t="s">
        <v>121</v>
      </c>
    </row>
    <row r="100" spans="1:11">
      <c r="A100" s="207">
        <v>99</v>
      </c>
      <c r="B100" s="208" t="s">
        <v>144</v>
      </c>
      <c r="C100" s="208">
        <v>18000005</v>
      </c>
      <c r="D100" s="209" t="s">
        <v>149</v>
      </c>
      <c r="E100" s="36" t="s">
        <v>27</v>
      </c>
      <c r="F100" s="36" t="s">
        <v>14</v>
      </c>
      <c r="G100" s="207">
        <v>2005</v>
      </c>
      <c r="H100" t="str">
        <f>_xlfn.XLOOKUP(B100,[2]Sheet0!$B$2:$B$27,[2]Sheet0!$A$2:$A$27)</f>
        <v>1031</v>
      </c>
      <c r="I100" t="str">
        <f t="shared" si="1"/>
        <v>10312005</v>
      </c>
      <c r="K100" s="225" t="s">
        <v>123</v>
      </c>
    </row>
    <row r="101" spans="1:11">
      <c r="A101" s="207">
        <v>100</v>
      </c>
      <c r="B101" s="208" t="s">
        <v>144</v>
      </c>
      <c r="C101" s="208">
        <v>18000006</v>
      </c>
      <c r="D101" s="209" t="s">
        <v>150</v>
      </c>
      <c r="E101" s="36" t="s">
        <v>27</v>
      </c>
      <c r="F101" s="36" t="s">
        <v>14</v>
      </c>
      <c r="G101" s="207">
        <v>2006</v>
      </c>
      <c r="H101" t="str">
        <f>_xlfn.XLOOKUP(B101,[2]Sheet0!$B$2:$B$27,[2]Sheet0!$A$2:$A$27)</f>
        <v>1031</v>
      </c>
      <c r="I101" t="str">
        <f t="shared" si="1"/>
        <v>10312006</v>
      </c>
      <c r="K101" s="225" t="s">
        <v>125</v>
      </c>
    </row>
    <row r="102" spans="1:11">
      <c r="A102" s="207">
        <v>101</v>
      </c>
      <c r="B102" s="208" t="s">
        <v>144</v>
      </c>
      <c r="C102" s="208">
        <v>18000007</v>
      </c>
      <c r="D102" s="209" t="s">
        <v>151</v>
      </c>
      <c r="E102" s="36" t="s">
        <v>27</v>
      </c>
      <c r="F102" s="36" t="s">
        <v>14</v>
      </c>
      <c r="G102" s="207">
        <v>2007</v>
      </c>
      <c r="H102" t="str">
        <f>_xlfn.XLOOKUP(B102,[2]Sheet0!$B$2:$B$27,[2]Sheet0!$A$2:$A$27)</f>
        <v>1031</v>
      </c>
      <c r="I102" t="str">
        <f t="shared" si="1"/>
        <v>10312007</v>
      </c>
      <c r="K102" s="225" t="s">
        <v>127</v>
      </c>
    </row>
    <row r="103" spans="1:11">
      <c r="A103" s="207">
        <v>102</v>
      </c>
      <c r="B103" s="208" t="s">
        <v>152</v>
      </c>
      <c r="C103" s="208">
        <v>19000001</v>
      </c>
      <c r="D103" s="209" t="s">
        <v>153</v>
      </c>
      <c r="E103" s="36" t="s">
        <v>27</v>
      </c>
      <c r="F103" s="36" t="s">
        <v>14</v>
      </c>
      <c r="G103" s="207">
        <v>2101</v>
      </c>
      <c r="H103" t="str">
        <f>_xlfn.XLOOKUP(B103,[2]Sheet0!$B$2:$B$27,[2]Sheet0!$A$2:$A$27)</f>
        <v>1035</v>
      </c>
      <c r="I103" t="str">
        <f t="shared" si="1"/>
        <v>10352101</v>
      </c>
      <c r="K103" s="225" t="s">
        <v>154</v>
      </c>
    </row>
    <row r="104" spans="1:11">
      <c r="A104" s="207">
        <v>103</v>
      </c>
      <c r="B104" s="208" t="s">
        <v>152</v>
      </c>
      <c r="C104" s="208">
        <v>19000016</v>
      </c>
      <c r="D104" s="209" t="s">
        <v>155</v>
      </c>
      <c r="E104" s="36" t="s">
        <v>27</v>
      </c>
      <c r="F104" s="36" t="s">
        <v>12</v>
      </c>
      <c r="G104" s="207">
        <v>2102</v>
      </c>
      <c r="H104" t="str">
        <f>_xlfn.XLOOKUP(B104,[2]Sheet0!$B$2:$B$27,[2]Sheet0!$A$2:$A$27)</f>
        <v>1035</v>
      </c>
      <c r="I104" t="str">
        <f t="shared" si="1"/>
        <v>10352102</v>
      </c>
      <c r="K104" s="225" t="s">
        <v>130</v>
      </c>
    </row>
    <row r="105" spans="1:11">
      <c r="A105" s="207">
        <v>104</v>
      </c>
      <c r="B105" s="208" t="s">
        <v>152</v>
      </c>
      <c r="C105" s="208">
        <v>19000011</v>
      </c>
      <c r="D105" s="209" t="s">
        <v>156</v>
      </c>
      <c r="E105" s="36" t="s">
        <v>11</v>
      </c>
      <c r="F105" s="36" t="s">
        <v>14</v>
      </c>
      <c r="G105" s="207">
        <v>2103</v>
      </c>
      <c r="H105" t="str">
        <f>_xlfn.XLOOKUP(B105,[2]Sheet0!$B$2:$B$27,[2]Sheet0!$A$2:$A$27)</f>
        <v>1035</v>
      </c>
      <c r="I105" t="str">
        <f t="shared" si="1"/>
        <v>10352103</v>
      </c>
      <c r="K105" s="225" t="s">
        <v>131</v>
      </c>
    </row>
    <row r="106" spans="1:11">
      <c r="A106" s="207">
        <v>105</v>
      </c>
      <c r="B106" s="208" t="s">
        <v>152</v>
      </c>
      <c r="C106" s="208">
        <v>19000012</v>
      </c>
      <c r="D106" s="209" t="s">
        <v>157</v>
      </c>
      <c r="E106" s="36" t="s">
        <v>27</v>
      </c>
      <c r="F106" s="36" t="s">
        <v>14</v>
      </c>
      <c r="G106" s="207">
        <v>2104</v>
      </c>
      <c r="H106" t="str">
        <f>_xlfn.XLOOKUP(B106,[2]Sheet0!$B$2:$B$27,[2]Sheet0!$A$2:$A$27)</f>
        <v>1035</v>
      </c>
      <c r="I106" t="str">
        <f t="shared" si="1"/>
        <v>10352104</v>
      </c>
      <c r="K106" s="225" t="s">
        <v>132</v>
      </c>
    </row>
    <row r="107" spans="1:11">
      <c r="A107" s="207">
        <v>106</v>
      </c>
      <c r="B107" s="208" t="s">
        <v>152</v>
      </c>
      <c r="C107" s="208">
        <v>19000013</v>
      </c>
      <c r="D107" s="209" t="s">
        <v>158</v>
      </c>
      <c r="E107" s="36" t="s">
        <v>27</v>
      </c>
      <c r="F107" s="36" t="s">
        <v>14</v>
      </c>
      <c r="G107" s="207">
        <v>2105</v>
      </c>
      <c r="H107" t="str">
        <f>_xlfn.XLOOKUP(B107,[2]Sheet0!$B$2:$B$27,[2]Sheet0!$A$2:$A$27)</f>
        <v>1035</v>
      </c>
      <c r="I107" t="str">
        <f t="shared" si="1"/>
        <v>10352105</v>
      </c>
      <c r="K107" s="225" t="s">
        <v>133</v>
      </c>
    </row>
    <row r="108" spans="1:11">
      <c r="A108" s="207">
        <v>107</v>
      </c>
      <c r="B108" s="208" t="s">
        <v>152</v>
      </c>
      <c r="C108" s="208">
        <v>19000015</v>
      </c>
      <c r="D108" s="212" t="s">
        <v>159</v>
      </c>
      <c r="E108" s="36" t="s">
        <v>27</v>
      </c>
      <c r="F108" s="36" t="s">
        <v>14</v>
      </c>
      <c r="G108" s="207">
        <v>2106</v>
      </c>
      <c r="H108" t="str">
        <f>_xlfn.XLOOKUP(B108,[2]Sheet0!$B$2:$B$27,[2]Sheet0!$A$2:$A$27)</f>
        <v>1035</v>
      </c>
      <c r="I108" t="str">
        <f t="shared" si="1"/>
        <v>10352106</v>
      </c>
      <c r="K108" s="225" t="s">
        <v>134</v>
      </c>
    </row>
    <row r="109" spans="1:11">
      <c r="A109" s="207">
        <v>108</v>
      </c>
      <c r="B109" s="208" t="s">
        <v>160</v>
      </c>
      <c r="C109" s="208">
        <v>20000001</v>
      </c>
      <c r="D109" s="209" t="s">
        <v>161</v>
      </c>
      <c r="E109" s="36" t="s">
        <v>162</v>
      </c>
      <c r="F109" s="36" t="s">
        <v>14</v>
      </c>
      <c r="G109" s="207">
        <v>2201</v>
      </c>
      <c r="H109" t="str">
        <f>_xlfn.XLOOKUP(B109,[2]Sheet0!$B$2:$B$27,[2]Sheet0!$A$2:$A$27)</f>
        <v>1040</v>
      </c>
      <c r="I109" t="str">
        <f t="shared" si="1"/>
        <v>10402201</v>
      </c>
      <c r="K109" s="225" t="s">
        <v>135</v>
      </c>
    </row>
    <row r="110" spans="1:11">
      <c r="A110" s="207">
        <v>109</v>
      </c>
      <c r="B110" s="208" t="s">
        <v>160</v>
      </c>
      <c r="C110" s="227" t="s">
        <v>49</v>
      </c>
      <c r="D110" s="228" t="s">
        <v>163</v>
      </c>
      <c r="E110" s="36" t="s">
        <v>162</v>
      </c>
      <c r="F110" s="36" t="s">
        <v>14</v>
      </c>
      <c r="G110" s="207">
        <v>2202</v>
      </c>
      <c r="H110" t="str">
        <f>_xlfn.XLOOKUP(B110,[2]Sheet0!$B$2:$B$27,[2]Sheet0!$A$2:$A$27)</f>
        <v>1040</v>
      </c>
      <c r="I110" t="str">
        <f t="shared" si="1"/>
        <v>10402202</v>
      </c>
      <c r="K110" s="225" t="s">
        <v>137</v>
      </c>
    </row>
    <row r="111" spans="1:11">
      <c r="A111" s="207">
        <v>110</v>
      </c>
      <c r="B111" s="208" t="s">
        <v>160</v>
      </c>
      <c r="C111" s="227" t="s">
        <v>49</v>
      </c>
      <c r="D111" s="228" t="s">
        <v>164</v>
      </c>
      <c r="E111" s="36" t="s">
        <v>162</v>
      </c>
      <c r="F111" s="36" t="s">
        <v>14</v>
      </c>
      <c r="G111" s="207">
        <v>2203</v>
      </c>
      <c r="H111" t="str">
        <f>_xlfn.XLOOKUP(B111,[2]Sheet0!$B$2:$B$27,[2]Sheet0!$A$2:$A$27)</f>
        <v>1040</v>
      </c>
      <c r="I111" t="str">
        <f t="shared" si="1"/>
        <v>10402203</v>
      </c>
      <c r="K111" s="225" t="s">
        <v>138</v>
      </c>
    </row>
    <row r="112" spans="1:11">
      <c r="A112" s="207">
        <v>111</v>
      </c>
      <c r="B112" s="208" t="s">
        <v>160</v>
      </c>
      <c r="C112" s="227" t="s">
        <v>49</v>
      </c>
      <c r="D112" s="228" t="s">
        <v>165</v>
      </c>
      <c r="E112" s="36" t="s">
        <v>162</v>
      </c>
      <c r="F112" s="36" t="s">
        <v>14</v>
      </c>
      <c r="G112" s="207">
        <v>2204</v>
      </c>
      <c r="H112" t="str">
        <f>_xlfn.XLOOKUP(B112,[2]Sheet0!$B$2:$B$27,[2]Sheet0!$A$2:$A$27)</f>
        <v>1040</v>
      </c>
      <c r="I112" t="str">
        <f t="shared" si="1"/>
        <v>10402204</v>
      </c>
      <c r="K112" s="225" t="s">
        <v>139</v>
      </c>
    </row>
    <row r="113" spans="1:11">
      <c r="A113" s="207">
        <v>112</v>
      </c>
      <c r="B113" s="208" t="s">
        <v>160</v>
      </c>
      <c r="C113" s="227" t="s">
        <v>49</v>
      </c>
      <c r="D113" s="228" t="s">
        <v>166</v>
      </c>
      <c r="E113" s="36" t="s">
        <v>162</v>
      </c>
      <c r="F113" s="36" t="s">
        <v>14</v>
      </c>
      <c r="G113" s="207">
        <v>2205</v>
      </c>
      <c r="H113" t="str">
        <f>_xlfn.XLOOKUP(B113,[2]Sheet0!$B$2:$B$27,[2]Sheet0!$A$2:$A$27)</f>
        <v>1040</v>
      </c>
      <c r="I113" t="str">
        <f t="shared" si="1"/>
        <v>10402205</v>
      </c>
      <c r="K113" s="225" t="s">
        <v>140</v>
      </c>
    </row>
    <row r="114" spans="1:11">
      <c r="A114" s="207">
        <v>113</v>
      </c>
      <c r="B114" s="208" t="s">
        <v>167</v>
      </c>
      <c r="C114" s="208">
        <v>20000006</v>
      </c>
      <c r="D114" s="209" t="s">
        <v>168</v>
      </c>
      <c r="E114" s="36" t="s">
        <v>27</v>
      </c>
      <c r="F114" s="36" t="s">
        <v>14</v>
      </c>
      <c r="G114" s="207">
        <v>2301</v>
      </c>
      <c r="H114" t="str">
        <f>_xlfn.XLOOKUP(B114,[2]Sheet0!$B$2:$B$27,[2]Sheet0!$A$2:$A$27)</f>
        <v>1041</v>
      </c>
      <c r="I114" t="str">
        <f t="shared" si="1"/>
        <v>10412301</v>
      </c>
      <c r="K114" s="225" t="s">
        <v>141</v>
      </c>
    </row>
    <row r="115" spans="1:11">
      <c r="A115" s="207">
        <v>114</v>
      </c>
      <c r="B115" s="208" t="s">
        <v>167</v>
      </c>
      <c r="C115" s="208">
        <v>20000009</v>
      </c>
      <c r="D115" s="209" t="s">
        <v>169</v>
      </c>
      <c r="E115" s="36" t="s">
        <v>27</v>
      </c>
      <c r="F115" s="36" t="s">
        <v>14</v>
      </c>
      <c r="G115" s="207">
        <v>2302</v>
      </c>
      <c r="H115" t="str">
        <f>_xlfn.XLOOKUP(B115,[2]Sheet0!$B$2:$B$27,[2]Sheet0!$A$2:$A$27)</f>
        <v>1041</v>
      </c>
      <c r="I115" t="str">
        <f t="shared" si="1"/>
        <v>10412302</v>
      </c>
      <c r="K115" s="225" t="s">
        <v>142</v>
      </c>
    </row>
    <row r="116" spans="1:11">
      <c r="A116" s="207">
        <v>115</v>
      </c>
      <c r="B116" s="208" t="s">
        <v>170</v>
      </c>
      <c r="C116" s="208">
        <v>21000001</v>
      </c>
      <c r="D116" s="209" t="s">
        <v>171</v>
      </c>
      <c r="E116" s="36" t="s">
        <v>27</v>
      </c>
      <c r="F116" s="36" t="s">
        <v>14</v>
      </c>
      <c r="G116" s="207">
        <v>2401</v>
      </c>
      <c r="H116" t="str">
        <f>_xlfn.XLOOKUP(B116,[2]Sheet0!$B$2:$B$27,[2]Sheet0!$A$2:$A$27)</f>
        <v>1045</v>
      </c>
      <c r="I116" t="str">
        <f t="shared" si="1"/>
        <v>10452401</v>
      </c>
      <c r="K116" s="225" t="s">
        <v>143</v>
      </c>
    </row>
    <row r="117" spans="1:11">
      <c r="A117" s="207">
        <v>116</v>
      </c>
      <c r="B117" s="208" t="s">
        <v>170</v>
      </c>
      <c r="C117" s="208">
        <v>21000002</v>
      </c>
      <c r="D117" s="209" t="s">
        <v>172</v>
      </c>
      <c r="E117" s="36" t="s">
        <v>27</v>
      </c>
      <c r="F117" s="36" t="s">
        <v>14</v>
      </c>
      <c r="G117" s="207">
        <v>2402</v>
      </c>
      <c r="H117" t="str">
        <f>_xlfn.XLOOKUP(B117,[2]Sheet0!$B$2:$B$27,[2]Sheet0!$A$2:$A$27)</f>
        <v>1045</v>
      </c>
      <c r="I117" t="str">
        <f t="shared" si="1"/>
        <v>10452402</v>
      </c>
      <c r="K117" s="225" t="s">
        <v>145</v>
      </c>
    </row>
    <row r="118" spans="1:11">
      <c r="A118" s="207">
        <v>117</v>
      </c>
      <c r="B118" s="208" t="s">
        <v>170</v>
      </c>
      <c r="C118" s="208">
        <v>21000003</v>
      </c>
      <c r="D118" s="209" t="s">
        <v>173</v>
      </c>
      <c r="E118" s="36" t="s">
        <v>27</v>
      </c>
      <c r="F118" s="36" t="s">
        <v>14</v>
      </c>
      <c r="G118" s="207">
        <v>2403</v>
      </c>
      <c r="H118" t="str">
        <f>_xlfn.XLOOKUP(B118,[2]Sheet0!$B$2:$B$27,[2]Sheet0!$A$2:$A$27)</f>
        <v>1045</v>
      </c>
      <c r="I118" t="str">
        <f t="shared" si="1"/>
        <v>10452403</v>
      </c>
      <c r="K118" s="225" t="s">
        <v>146</v>
      </c>
    </row>
    <row r="119" spans="1:11">
      <c r="A119" s="207">
        <v>118</v>
      </c>
      <c r="B119" s="208" t="s">
        <v>170</v>
      </c>
      <c r="C119" s="208">
        <v>21000004</v>
      </c>
      <c r="D119" s="209" t="s">
        <v>174</v>
      </c>
      <c r="E119" s="36" t="s">
        <v>27</v>
      </c>
      <c r="F119" s="36" t="s">
        <v>14</v>
      </c>
      <c r="G119" s="207">
        <v>2404</v>
      </c>
      <c r="H119" t="str">
        <f>_xlfn.XLOOKUP(B119,[2]Sheet0!$B$2:$B$27,[2]Sheet0!$A$2:$A$27)</f>
        <v>1045</v>
      </c>
      <c r="I119" t="str">
        <f t="shared" si="1"/>
        <v>10452404</v>
      </c>
      <c r="K119" s="225" t="s">
        <v>147</v>
      </c>
    </row>
    <row r="120" spans="1:11">
      <c r="A120" s="207">
        <v>119</v>
      </c>
      <c r="B120" s="208" t="s">
        <v>170</v>
      </c>
      <c r="C120" s="208">
        <v>21000005</v>
      </c>
      <c r="D120" s="209" t="s">
        <v>175</v>
      </c>
      <c r="E120" s="36" t="s">
        <v>27</v>
      </c>
      <c r="F120" s="36" t="s">
        <v>14</v>
      </c>
      <c r="G120" s="207">
        <v>2405</v>
      </c>
      <c r="H120" t="str">
        <f>_xlfn.XLOOKUP(B120,[2]Sheet0!$B$2:$B$27,[2]Sheet0!$A$2:$A$27)</f>
        <v>1045</v>
      </c>
      <c r="I120" t="str">
        <f t="shared" si="1"/>
        <v>10452405</v>
      </c>
      <c r="K120" s="225" t="s">
        <v>148</v>
      </c>
    </row>
    <row r="121" spans="1:11">
      <c r="A121" s="207">
        <v>120</v>
      </c>
      <c r="B121" s="208" t="s">
        <v>176</v>
      </c>
      <c r="C121" s="208">
        <v>21000006</v>
      </c>
      <c r="D121" s="209" t="s">
        <v>177</v>
      </c>
      <c r="E121" s="36" t="s">
        <v>162</v>
      </c>
      <c r="F121" s="36" t="s">
        <v>12</v>
      </c>
      <c r="G121" s="207">
        <v>2501</v>
      </c>
      <c r="H121" t="str">
        <f>_xlfn.XLOOKUP(B121,[2]Sheet0!$B$2:$B$27,[2]Sheet0!$A$2:$A$27)</f>
        <v>1050</v>
      </c>
      <c r="I121" t="str">
        <f t="shared" si="1"/>
        <v>10502501</v>
      </c>
      <c r="K121" s="225" t="s">
        <v>149</v>
      </c>
    </row>
    <row r="122" spans="1:11">
      <c r="A122" s="207">
        <v>121</v>
      </c>
      <c r="B122" s="208" t="s">
        <v>176</v>
      </c>
      <c r="C122" s="208">
        <v>21000101</v>
      </c>
      <c r="D122" s="212" t="s">
        <v>178</v>
      </c>
      <c r="E122" s="36" t="s">
        <v>162</v>
      </c>
      <c r="F122" s="36" t="s">
        <v>14</v>
      </c>
      <c r="G122" s="207">
        <v>2502</v>
      </c>
      <c r="H122" t="str">
        <f>_xlfn.XLOOKUP(B122,[2]Sheet0!$B$2:$B$27,[2]Sheet0!$A$2:$A$27)</f>
        <v>1050</v>
      </c>
      <c r="I122" t="str">
        <f t="shared" si="1"/>
        <v>10502502</v>
      </c>
      <c r="K122" s="225" t="s">
        <v>150</v>
      </c>
    </row>
    <row r="123" spans="1:11">
      <c r="A123" s="207">
        <v>122</v>
      </c>
      <c r="B123" s="208" t="s">
        <v>176</v>
      </c>
      <c r="C123" s="208">
        <v>21000102</v>
      </c>
      <c r="D123" s="212" t="s">
        <v>179</v>
      </c>
      <c r="E123" s="36" t="s">
        <v>162</v>
      </c>
      <c r="F123" s="36" t="s">
        <v>14</v>
      </c>
      <c r="G123" s="207">
        <v>2503</v>
      </c>
      <c r="H123" t="str">
        <f>_xlfn.XLOOKUP(B123,[2]Sheet0!$B$2:$B$27,[2]Sheet0!$A$2:$A$27)</f>
        <v>1050</v>
      </c>
      <c r="I123" t="str">
        <f t="shared" si="1"/>
        <v>10502503</v>
      </c>
      <c r="K123" s="225" t="s">
        <v>151</v>
      </c>
    </row>
    <row r="124" spans="1:11">
      <c r="A124" s="207">
        <v>123</v>
      </c>
      <c r="B124" s="208" t="s">
        <v>176</v>
      </c>
      <c r="C124" s="208">
        <v>21000007</v>
      </c>
      <c r="D124" s="209" t="s">
        <v>180</v>
      </c>
      <c r="E124" s="36" t="s">
        <v>27</v>
      </c>
      <c r="F124" s="36" t="s">
        <v>12</v>
      </c>
      <c r="G124" s="207">
        <v>2504</v>
      </c>
      <c r="H124" t="str">
        <f>_xlfn.XLOOKUP(B124,[2]Sheet0!$B$2:$B$27,[2]Sheet0!$A$2:$A$27)</f>
        <v>1050</v>
      </c>
      <c r="I124" t="str">
        <f t="shared" si="1"/>
        <v>10502504</v>
      </c>
      <c r="K124" s="225" t="s">
        <v>153</v>
      </c>
    </row>
    <row r="125" spans="1:11">
      <c r="A125" s="207">
        <v>124</v>
      </c>
      <c r="B125" s="208" t="s">
        <v>176</v>
      </c>
      <c r="C125" s="208">
        <v>21000104</v>
      </c>
      <c r="D125" s="212" t="s">
        <v>181</v>
      </c>
      <c r="E125" s="36" t="s">
        <v>27</v>
      </c>
      <c r="F125" s="36" t="s">
        <v>14</v>
      </c>
      <c r="G125" s="207">
        <v>2505</v>
      </c>
      <c r="H125" t="str">
        <f>_xlfn.XLOOKUP(B125,[2]Sheet0!$B$2:$B$27,[2]Sheet0!$A$2:$A$27)</f>
        <v>1050</v>
      </c>
      <c r="I125" t="str">
        <f t="shared" si="1"/>
        <v>10502505</v>
      </c>
      <c r="K125" s="225" t="s">
        <v>155</v>
      </c>
    </row>
    <row r="126" spans="1:11">
      <c r="A126" s="207">
        <v>125</v>
      </c>
      <c r="B126" s="208" t="s">
        <v>176</v>
      </c>
      <c r="C126" s="208">
        <v>21000105</v>
      </c>
      <c r="D126" s="212" t="s">
        <v>182</v>
      </c>
      <c r="E126" s="36" t="s">
        <v>27</v>
      </c>
      <c r="F126" s="36" t="s">
        <v>14</v>
      </c>
      <c r="G126" s="207">
        <v>2506</v>
      </c>
      <c r="H126" t="str">
        <f>_xlfn.XLOOKUP(B126,[2]Sheet0!$B$2:$B$27,[2]Sheet0!$A$2:$A$27)</f>
        <v>1050</v>
      </c>
      <c r="I126" t="str">
        <f t="shared" si="1"/>
        <v>10502506</v>
      </c>
      <c r="K126" s="225" t="s">
        <v>156</v>
      </c>
    </row>
    <row r="127" spans="1:11">
      <c r="A127" s="207">
        <v>126</v>
      </c>
      <c r="B127" s="208" t="s">
        <v>176</v>
      </c>
      <c r="C127" s="208"/>
      <c r="D127" s="209" t="s">
        <v>183</v>
      </c>
      <c r="E127" s="36" t="s">
        <v>27</v>
      </c>
      <c r="F127" s="36" t="s">
        <v>14</v>
      </c>
      <c r="G127" s="207">
        <v>2507</v>
      </c>
      <c r="H127" t="str">
        <f>_xlfn.XLOOKUP(B127,[2]Sheet0!$B$2:$B$27,[2]Sheet0!$A$2:$A$27)</f>
        <v>1050</v>
      </c>
      <c r="I127" t="str">
        <f t="shared" si="1"/>
        <v>10502507</v>
      </c>
      <c r="K127" s="225" t="s">
        <v>157</v>
      </c>
    </row>
    <row r="128" spans="1:11">
      <c r="A128" s="207">
        <v>127</v>
      </c>
      <c r="B128" s="208" t="s">
        <v>184</v>
      </c>
      <c r="C128" s="208">
        <v>21000013</v>
      </c>
      <c r="D128" s="209" t="s">
        <v>185</v>
      </c>
      <c r="E128" s="36" t="s">
        <v>27</v>
      </c>
      <c r="F128" s="36" t="s">
        <v>14</v>
      </c>
      <c r="G128" s="207">
        <v>2601</v>
      </c>
      <c r="H128" t="str">
        <f>_xlfn.XLOOKUP(B128,[2]Sheet0!$B$2:$B$27,[2]Sheet0!$A$2:$A$27)</f>
        <v>1055</v>
      </c>
      <c r="I128" t="str">
        <f t="shared" si="1"/>
        <v>10552601</v>
      </c>
      <c r="K128" s="225" t="s">
        <v>158</v>
      </c>
    </row>
    <row r="129" spans="1:11">
      <c r="A129" s="207">
        <v>128</v>
      </c>
      <c r="B129" s="208" t="s">
        <v>184</v>
      </c>
      <c r="C129" s="208">
        <v>21000016</v>
      </c>
      <c r="D129" s="209" t="s">
        <v>186</v>
      </c>
      <c r="E129" s="36" t="s">
        <v>27</v>
      </c>
      <c r="F129" s="36" t="s">
        <v>14</v>
      </c>
      <c r="G129" s="207">
        <v>2602</v>
      </c>
      <c r="H129" t="str">
        <f>_xlfn.XLOOKUP(B129,[2]Sheet0!$B$2:$B$27,[2]Sheet0!$A$2:$A$27)</f>
        <v>1055</v>
      </c>
      <c r="I129" t="str">
        <f t="shared" si="1"/>
        <v>10552602</v>
      </c>
      <c r="K129" s="225" t="s">
        <v>159</v>
      </c>
    </row>
    <row r="130" spans="1:11">
      <c r="A130" s="207">
        <v>129</v>
      </c>
      <c r="B130" s="208" t="s">
        <v>184</v>
      </c>
      <c r="C130" s="208">
        <v>21000014</v>
      </c>
      <c r="D130" s="209" t="s">
        <v>187</v>
      </c>
      <c r="E130" s="36" t="s">
        <v>27</v>
      </c>
      <c r="F130" s="36" t="s">
        <v>14</v>
      </c>
      <c r="G130" s="207">
        <v>2603</v>
      </c>
      <c r="H130" t="str">
        <f>_xlfn.XLOOKUP(B130,[2]Sheet0!$B$2:$B$27,[2]Sheet0!$A$2:$A$27)</f>
        <v>1055</v>
      </c>
      <c r="I130" t="str">
        <f t="shared" si="1"/>
        <v>10552603</v>
      </c>
      <c r="K130" s="225" t="s">
        <v>161</v>
      </c>
    </row>
    <row r="131" spans="1:11">
      <c r="A131" s="207">
        <v>130</v>
      </c>
      <c r="B131" s="208" t="s">
        <v>184</v>
      </c>
      <c r="C131" s="208">
        <v>21000017</v>
      </c>
      <c r="D131" s="209" t="s">
        <v>188</v>
      </c>
      <c r="E131" s="36" t="s">
        <v>27</v>
      </c>
      <c r="F131" s="36" t="s">
        <v>14</v>
      </c>
      <c r="G131" s="207">
        <v>2604</v>
      </c>
      <c r="H131" t="str">
        <f>_xlfn.XLOOKUP(B131,[2]Sheet0!$B$2:$B$27,[2]Sheet0!$A$2:$A$27)</f>
        <v>1055</v>
      </c>
      <c r="I131" t="str">
        <f t="shared" ref="I131:I194" si="2">H131&amp;G131</f>
        <v>10552604</v>
      </c>
      <c r="K131" s="225" t="s">
        <v>163</v>
      </c>
    </row>
    <row r="132" spans="1:11">
      <c r="A132" s="207">
        <v>131</v>
      </c>
      <c r="B132" s="208" t="s">
        <v>184</v>
      </c>
      <c r="C132" s="208"/>
      <c r="D132" s="211" t="s">
        <v>189</v>
      </c>
      <c r="E132" s="36" t="s">
        <v>27</v>
      </c>
      <c r="F132" s="36" t="s">
        <v>14</v>
      </c>
      <c r="G132" s="207">
        <v>2605</v>
      </c>
      <c r="H132" t="str">
        <f>_xlfn.XLOOKUP(B132,[2]Sheet0!$B$2:$B$27,[2]Sheet0!$A$2:$A$27)</f>
        <v>1055</v>
      </c>
      <c r="I132" t="str">
        <f t="shared" si="2"/>
        <v>10552605</v>
      </c>
      <c r="K132" s="225" t="s">
        <v>164</v>
      </c>
    </row>
    <row r="133" spans="1:11">
      <c r="A133" s="207">
        <v>132</v>
      </c>
      <c r="B133" s="208" t="s">
        <v>184</v>
      </c>
      <c r="C133" s="208">
        <v>21000030</v>
      </c>
      <c r="D133" s="209" t="s">
        <v>190</v>
      </c>
      <c r="E133" s="36" t="s">
        <v>11</v>
      </c>
      <c r="F133" s="36" t="s">
        <v>14</v>
      </c>
      <c r="G133" s="207">
        <v>2606</v>
      </c>
      <c r="H133" t="str">
        <f>_xlfn.XLOOKUP(B133,[2]Sheet0!$B$2:$B$27,[2]Sheet0!$A$2:$A$27)</f>
        <v>1055</v>
      </c>
      <c r="I133" t="str">
        <f t="shared" si="2"/>
        <v>10552606</v>
      </c>
      <c r="K133" s="225" t="s">
        <v>165</v>
      </c>
    </row>
    <row r="134" spans="1:11">
      <c r="A134" s="207">
        <v>133</v>
      </c>
      <c r="B134" s="208" t="s">
        <v>184</v>
      </c>
      <c r="C134" s="208">
        <v>21000032</v>
      </c>
      <c r="D134" s="209" t="s">
        <v>191</v>
      </c>
      <c r="E134" s="36" t="s">
        <v>27</v>
      </c>
      <c r="F134" s="36" t="s">
        <v>14</v>
      </c>
      <c r="G134" s="207">
        <v>2607</v>
      </c>
      <c r="H134" t="str">
        <f>_xlfn.XLOOKUP(B134,[2]Sheet0!$B$2:$B$27,[2]Sheet0!$A$2:$A$27)</f>
        <v>1055</v>
      </c>
      <c r="I134" t="str">
        <f t="shared" si="2"/>
        <v>10552607</v>
      </c>
      <c r="K134" s="225" t="s">
        <v>166</v>
      </c>
    </row>
    <row r="135" spans="1:11">
      <c r="A135" s="207">
        <v>134</v>
      </c>
      <c r="B135" s="208" t="s">
        <v>184</v>
      </c>
      <c r="C135" s="208">
        <v>21000033</v>
      </c>
      <c r="D135" s="209" t="s">
        <v>192</v>
      </c>
      <c r="E135" s="36" t="s">
        <v>27</v>
      </c>
      <c r="F135" s="36" t="s">
        <v>14</v>
      </c>
      <c r="G135" s="207">
        <v>2608</v>
      </c>
      <c r="H135" t="str">
        <f>_xlfn.XLOOKUP(B135,[2]Sheet0!$B$2:$B$27,[2]Sheet0!$A$2:$A$27)</f>
        <v>1055</v>
      </c>
      <c r="I135" t="str">
        <f t="shared" si="2"/>
        <v>10552608</v>
      </c>
      <c r="K135" s="225" t="s">
        <v>168</v>
      </c>
    </row>
    <row r="136" spans="1:11">
      <c r="A136" s="207">
        <v>135</v>
      </c>
      <c r="B136" s="208" t="s">
        <v>193</v>
      </c>
      <c r="C136" s="208">
        <v>21000008</v>
      </c>
      <c r="D136" s="209" t="s">
        <v>194</v>
      </c>
      <c r="E136" s="36" t="s">
        <v>27</v>
      </c>
      <c r="F136" s="36" t="s">
        <v>14</v>
      </c>
      <c r="G136" s="207">
        <v>2701</v>
      </c>
      <c r="H136" t="str">
        <f>_xlfn.XLOOKUP(B136,[2]Sheet0!$B$2:$B$27,[2]Sheet0!$A$2:$A$27)</f>
        <v>1060</v>
      </c>
      <c r="I136" t="str">
        <f t="shared" si="2"/>
        <v>10602701</v>
      </c>
      <c r="K136" s="225" t="s">
        <v>169</v>
      </c>
    </row>
    <row r="137" spans="1:11">
      <c r="A137" s="207">
        <v>136</v>
      </c>
      <c r="B137" s="208" t="s">
        <v>193</v>
      </c>
      <c r="C137" s="208">
        <v>21000018</v>
      </c>
      <c r="D137" s="209" t="s">
        <v>195</v>
      </c>
      <c r="E137" s="36" t="s">
        <v>27</v>
      </c>
      <c r="F137" s="36" t="s">
        <v>14</v>
      </c>
      <c r="G137" s="207">
        <v>2702</v>
      </c>
      <c r="H137" t="str">
        <f>_xlfn.XLOOKUP(B137,[2]Sheet0!$B$2:$B$27,[2]Sheet0!$A$2:$A$27)</f>
        <v>1060</v>
      </c>
      <c r="I137" t="str">
        <f t="shared" si="2"/>
        <v>10602702</v>
      </c>
      <c r="K137" s="225" t="s">
        <v>171</v>
      </c>
    </row>
    <row r="138" spans="1:11">
      <c r="A138" s="207">
        <v>137</v>
      </c>
      <c r="B138" s="208" t="s">
        <v>193</v>
      </c>
      <c r="C138" s="208">
        <v>21000019</v>
      </c>
      <c r="D138" s="209" t="s">
        <v>196</v>
      </c>
      <c r="E138" s="36" t="s">
        <v>27</v>
      </c>
      <c r="F138" s="36" t="s">
        <v>14</v>
      </c>
      <c r="G138" s="207">
        <v>2703</v>
      </c>
      <c r="H138" t="str">
        <f>_xlfn.XLOOKUP(B138,[2]Sheet0!$B$2:$B$27,[2]Sheet0!$A$2:$A$27)</f>
        <v>1060</v>
      </c>
      <c r="I138" t="str">
        <f t="shared" si="2"/>
        <v>10602703</v>
      </c>
      <c r="K138" s="225" t="s">
        <v>172</v>
      </c>
    </row>
    <row r="139" spans="1:11">
      <c r="A139" s="207">
        <v>138</v>
      </c>
      <c r="B139" s="208" t="s">
        <v>193</v>
      </c>
      <c r="C139" s="208">
        <v>21000023</v>
      </c>
      <c r="D139" s="209" t="s">
        <v>197</v>
      </c>
      <c r="E139" s="36" t="s">
        <v>27</v>
      </c>
      <c r="F139" s="36" t="s">
        <v>14</v>
      </c>
      <c r="G139" s="207">
        <v>2704</v>
      </c>
      <c r="H139" t="str">
        <f>_xlfn.XLOOKUP(B139,[2]Sheet0!$B$2:$B$27,[2]Sheet0!$A$2:$A$27)</f>
        <v>1060</v>
      </c>
      <c r="I139" t="str">
        <f t="shared" si="2"/>
        <v>10602704</v>
      </c>
      <c r="K139" s="225" t="s">
        <v>173</v>
      </c>
    </row>
    <row r="140" spans="1:11">
      <c r="A140" s="207">
        <v>139</v>
      </c>
      <c r="B140" s="208" t="s">
        <v>193</v>
      </c>
      <c r="C140" s="208">
        <v>21000010</v>
      </c>
      <c r="D140" s="209" t="s">
        <v>198</v>
      </c>
      <c r="E140" s="36" t="s">
        <v>27</v>
      </c>
      <c r="F140" s="36" t="s">
        <v>14</v>
      </c>
      <c r="G140" s="207">
        <v>2705</v>
      </c>
      <c r="H140" t="str">
        <f>_xlfn.XLOOKUP(B140,[2]Sheet0!$B$2:$B$27,[2]Sheet0!$A$2:$A$27)</f>
        <v>1060</v>
      </c>
      <c r="I140" t="str">
        <f t="shared" si="2"/>
        <v>10602705</v>
      </c>
      <c r="K140" s="225" t="s">
        <v>174</v>
      </c>
    </row>
    <row r="141" spans="1:11">
      <c r="A141" s="207">
        <v>140</v>
      </c>
      <c r="B141" s="208" t="s">
        <v>193</v>
      </c>
      <c r="C141" s="208">
        <v>21000022</v>
      </c>
      <c r="D141" s="212" t="s">
        <v>199</v>
      </c>
      <c r="E141" s="36" t="s">
        <v>27</v>
      </c>
      <c r="F141" s="36" t="s">
        <v>14</v>
      </c>
      <c r="G141" s="207">
        <v>2706</v>
      </c>
      <c r="H141" t="str">
        <f>_xlfn.XLOOKUP(B141,[2]Sheet0!$B$2:$B$27,[2]Sheet0!$A$2:$A$27)</f>
        <v>1060</v>
      </c>
      <c r="I141" t="str">
        <f t="shared" si="2"/>
        <v>10602706</v>
      </c>
      <c r="K141" s="225" t="s">
        <v>175</v>
      </c>
    </row>
    <row r="142" spans="1:11">
      <c r="A142" s="207">
        <v>141</v>
      </c>
      <c r="B142" s="208" t="s">
        <v>193</v>
      </c>
      <c r="C142" s="208">
        <v>21000021</v>
      </c>
      <c r="D142" s="209" t="s">
        <v>200</v>
      </c>
      <c r="E142" s="36" t="s">
        <v>27</v>
      </c>
      <c r="F142" s="36" t="s">
        <v>14</v>
      </c>
      <c r="G142" s="207">
        <v>2707</v>
      </c>
      <c r="H142" t="str">
        <f>_xlfn.XLOOKUP(B142,[2]Sheet0!$B$2:$B$27,[2]Sheet0!$A$2:$A$27)</f>
        <v>1060</v>
      </c>
      <c r="I142" t="str">
        <f t="shared" si="2"/>
        <v>10602707</v>
      </c>
      <c r="K142" s="225" t="s">
        <v>177</v>
      </c>
    </row>
    <row r="143" spans="1:11">
      <c r="A143" s="207">
        <v>142</v>
      </c>
      <c r="B143" s="208" t="s">
        <v>193</v>
      </c>
      <c r="C143" s="208">
        <v>21000015</v>
      </c>
      <c r="D143" s="209" t="s">
        <v>201</v>
      </c>
      <c r="E143" s="36" t="s">
        <v>27</v>
      </c>
      <c r="F143" s="36" t="s">
        <v>14</v>
      </c>
      <c r="G143" s="207">
        <v>2708</v>
      </c>
      <c r="H143" t="str">
        <f>_xlfn.XLOOKUP(B143,[2]Sheet0!$B$2:$B$27,[2]Sheet0!$A$2:$A$27)</f>
        <v>1060</v>
      </c>
      <c r="I143" t="str">
        <f t="shared" si="2"/>
        <v>10602708</v>
      </c>
      <c r="K143" s="225" t="s">
        <v>178</v>
      </c>
    </row>
    <row r="144" spans="1:11">
      <c r="A144" s="207">
        <v>143</v>
      </c>
      <c r="B144" s="208" t="s">
        <v>193</v>
      </c>
      <c r="C144" s="208">
        <v>21000041</v>
      </c>
      <c r="D144" s="211" t="s">
        <v>202</v>
      </c>
      <c r="E144" s="36" t="s">
        <v>27</v>
      </c>
      <c r="F144" s="36" t="s">
        <v>14</v>
      </c>
      <c r="G144" s="207">
        <v>2709</v>
      </c>
      <c r="H144" t="str">
        <f>_xlfn.XLOOKUP(B144,[2]Sheet0!$B$2:$B$27,[2]Sheet0!$A$2:$A$27)</f>
        <v>1060</v>
      </c>
      <c r="I144" t="str">
        <f t="shared" si="2"/>
        <v>10602709</v>
      </c>
      <c r="K144" s="225" t="s">
        <v>179</v>
      </c>
    </row>
    <row r="145" spans="1:11">
      <c r="A145" s="207">
        <v>144</v>
      </c>
      <c r="B145" s="208" t="s">
        <v>203</v>
      </c>
      <c r="C145" s="208">
        <v>22000001</v>
      </c>
      <c r="D145" s="209" t="s">
        <v>204</v>
      </c>
      <c r="E145" s="36" t="s">
        <v>27</v>
      </c>
      <c r="F145" s="36" t="s">
        <v>14</v>
      </c>
      <c r="G145" s="207">
        <v>2901</v>
      </c>
      <c r="H145" t="str">
        <f>_xlfn.XLOOKUP(B145,[2]Sheet0!$B$2:$B$27,[2]Sheet0!$A$2:$A$27)</f>
        <v>1065</v>
      </c>
      <c r="I145" t="str">
        <f t="shared" si="2"/>
        <v>10652901</v>
      </c>
      <c r="K145" s="225" t="s">
        <v>180</v>
      </c>
    </row>
    <row r="146" spans="1:11">
      <c r="A146" s="207">
        <v>145</v>
      </c>
      <c r="B146" s="208" t="s">
        <v>203</v>
      </c>
      <c r="C146" s="208">
        <v>22000003</v>
      </c>
      <c r="D146" s="212" t="s">
        <v>205</v>
      </c>
      <c r="E146" s="36" t="s">
        <v>17</v>
      </c>
      <c r="F146" s="36" t="s">
        <v>14</v>
      </c>
      <c r="G146" s="207">
        <v>2902</v>
      </c>
      <c r="H146" t="str">
        <f>_xlfn.XLOOKUP(B146,[2]Sheet0!$B$2:$B$27,[2]Sheet0!$A$2:$A$27)</f>
        <v>1065</v>
      </c>
      <c r="I146" t="str">
        <f t="shared" si="2"/>
        <v>10652902</v>
      </c>
      <c r="K146" s="225" t="s">
        <v>181</v>
      </c>
    </row>
    <row r="147" spans="1:11">
      <c r="A147" s="207">
        <v>146</v>
      </c>
      <c r="B147" s="208" t="s">
        <v>203</v>
      </c>
      <c r="C147" s="208">
        <v>22000024</v>
      </c>
      <c r="D147" s="212" t="s">
        <v>206</v>
      </c>
      <c r="E147" s="36" t="s">
        <v>207</v>
      </c>
      <c r="F147" s="36" t="s">
        <v>14</v>
      </c>
      <c r="G147" s="207">
        <v>2903</v>
      </c>
      <c r="H147" t="str">
        <f>_xlfn.XLOOKUP(B147,[2]Sheet0!$B$2:$B$27,[2]Sheet0!$A$2:$A$27)</f>
        <v>1065</v>
      </c>
      <c r="I147" t="str">
        <f t="shared" si="2"/>
        <v>10652903</v>
      </c>
      <c r="K147" s="225" t="s">
        <v>182</v>
      </c>
    </row>
    <row r="148" spans="1:11">
      <c r="A148" s="207">
        <v>147</v>
      </c>
      <c r="B148" s="208" t="s">
        <v>203</v>
      </c>
      <c r="C148" s="208">
        <v>22000025</v>
      </c>
      <c r="D148" s="212" t="s">
        <v>208</v>
      </c>
      <c r="E148" s="36" t="s">
        <v>17</v>
      </c>
      <c r="F148" s="36" t="s">
        <v>14</v>
      </c>
      <c r="G148" s="207">
        <v>2904</v>
      </c>
      <c r="H148" t="str">
        <f>_xlfn.XLOOKUP(B148,[2]Sheet0!$B$2:$B$27,[2]Sheet0!$A$2:$A$27)</f>
        <v>1065</v>
      </c>
      <c r="I148" t="str">
        <f t="shared" si="2"/>
        <v>10652904</v>
      </c>
      <c r="K148" s="225" t="s">
        <v>183</v>
      </c>
    </row>
    <row r="149" spans="1:11">
      <c r="A149" s="207">
        <v>148</v>
      </c>
      <c r="B149" s="208" t="s">
        <v>203</v>
      </c>
      <c r="C149" s="208">
        <v>22000026</v>
      </c>
      <c r="D149" s="209" t="s">
        <v>209</v>
      </c>
      <c r="E149" s="36" t="s">
        <v>27</v>
      </c>
      <c r="F149" s="36" t="s">
        <v>14</v>
      </c>
      <c r="G149" s="207">
        <v>2905</v>
      </c>
      <c r="H149" t="str">
        <f>_xlfn.XLOOKUP(B149,[2]Sheet0!$B$2:$B$27,[2]Sheet0!$A$2:$A$27)</f>
        <v>1065</v>
      </c>
      <c r="I149" t="str">
        <f t="shared" si="2"/>
        <v>10652905</v>
      </c>
      <c r="K149" s="225" t="s">
        <v>185</v>
      </c>
    </row>
    <row r="150" spans="1:11">
      <c r="A150" s="207">
        <v>149</v>
      </c>
      <c r="B150" s="208" t="s">
        <v>203</v>
      </c>
      <c r="C150" s="208">
        <v>22000027</v>
      </c>
      <c r="D150" s="209" t="s">
        <v>210</v>
      </c>
      <c r="E150" s="36" t="s">
        <v>27</v>
      </c>
      <c r="F150" s="36" t="s">
        <v>14</v>
      </c>
      <c r="G150" s="207">
        <v>2906</v>
      </c>
      <c r="H150" t="str">
        <f>_xlfn.XLOOKUP(B150,[2]Sheet0!$B$2:$B$27,[2]Sheet0!$A$2:$A$27)</f>
        <v>1065</v>
      </c>
      <c r="I150" t="str">
        <f t="shared" si="2"/>
        <v>10652906</v>
      </c>
      <c r="K150" s="225" t="s">
        <v>186</v>
      </c>
    </row>
    <row r="151" spans="1:11">
      <c r="A151" s="207">
        <v>150</v>
      </c>
      <c r="B151" s="208" t="s">
        <v>203</v>
      </c>
      <c r="C151" s="208">
        <v>22000041</v>
      </c>
      <c r="D151" s="209" t="s">
        <v>211</v>
      </c>
      <c r="E151" s="36" t="s">
        <v>17</v>
      </c>
      <c r="F151" s="36" t="s">
        <v>14</v>
      </c>
      <c r="G151" s="207">
        <v>2907</v>
      </c>
      <c r="H151" t="str">
        <f>_xlfn.XLOOKUP(B151,[2]Sheet0!$B$2:$B$27,[2]Sheet0!$A$2:$A$27)</f>
        <v>1065</v>
      </c>
      <c r="I151" t="str">
        <f t="shared" si="2"/>
        <v>10652907</v>
      </c>
      <c r="K151" s="225" t="s">
        <v>187</v>
      </c>
    </row>
    <row r="152" spans="1:11">
      <c r="A152" s="207">
        <v>151</v>
      </c>
      <c r="B152" s="208" t="s">
        <v>203</v>
      </c>
      <c r="C152" s="208">
        <v>22000006</v>
      </c>
      <c r="D152" s="209" t="s">
        <v>212</v>
      </c>
      <c r="E152" s="36" t="s">
        <v>27</v>
      </c>
      <c r="F152" s="36" t="s">
        <v>14</v>
      </c>
      <c r="G152" s="207">
        <v>2908</v>
      </c>
      <c r="H152" t="str">
        <f>_xlfn.XLOOKUP(B152,[2]Sheet0!$B$2:$B$27,[2]Sheet0!$A$2:$A$27)</f>
        <v>1065</v>
      </c>
      <c r="I152" t="str">
        <f t="shared" si="2"/>
        <v>10652908</v>
      </c>
      <c r="K152" s="225" t="s">
        <v>188</v>
      </c>
    </row>
    <row r="153" spans="1:11">
      <c r="A153" s="207">
        <v>152</v>
      </c>
      <c r="B153" s="208" t="s">
        <v>203</v>
      </c>
      <c r="C153" s="208">
        <v>22000004</v>
      </c>
      <c r="D153" s="212" t="s">
        <v>213</v>
      </c>
      <c r="E153" s="36" t="s">
        <v>27</v>
      </c>
      <c r="F153" s="36" t="s">
        <v>14</v>
      </c>
      <c r="G153" s="207">
        <v>2909</v>
      </c>
      <c r="H153" t="str">
        <f>_xlfn.XLOOKUP(B153,[2]Sheet0!$B$2:$B$27,[2]Sheet0!$A$2:$A$27)</f>
        <v>1065</v>
      </c>
      <c r="I153" t="str">
        <f t="shared" si="2"/>
        <v>10652909</v>
      </c>
      <c r="K153" s="225" t="s">
        <v>189</v>
      </c>
    </row>
    <row r="154" spans="1:11">
      <c r="A154" s="207">
        <v>153</v>
      </c>
      <c r="B154" s="208" t="s">
        <v>203</v>
      </c>
      <c r="C154" s="208">
        <v>22000028</v>
      </c>
      <c r="D154" s="209" t="s">
        <v>214</v>
      </c>
      <c r="E154" s="36" t="s">
        <v>27</v>
      </c>
      <c r="F154" s="36" t="s">
        <v>14</v>
      </c>
      <c r="G154" s="207">
        <v>2910</v>
      </c>
      <c r="H154" t="str">
        <f>_xlfn.XLOOKUP(B154,[2]Sheet0!$B$2:$B$27,[2]Sheet0!$A$2:$A$27)</f>
        <v>1065</v>
      </c>
      <c r="I154" t="str">
        <f t="shared" si="2"/>
        <v>10652910</v>
      </c>
      <c r="K154" s="225" t="s">
        <v>190</v>
      </c>
    </row>
    <row r="155" spans="1:11">
      <c r="A155" s="207">
        <v>154</v>
      </c>
      <c r="B155" s="208" t="s">
        <v>203</v>
      </c>
      <c r="C155" s="208">
        <v>22000011</v>
      </c>
      <c r="D155" s="209" t="s">
        <v>215</v>
      </c>
      <c r="E155" s="36" t="s">
        <v>27</v>
      </c>
      <c r="F155" s="36" t="s">
        <v>14</v>
      </c>
      <c r="G155" s="207">
        <v>2911</v>
      </c>
      <c r="H155" t="str">
        <f>_xlfn.XLOOKUP(B155,[2]Sheet0!$B$2:$B$27,[2]Sheet0!$A$2:$A$27)</f>
        <v>1065</v>
      </c>
      <c r="I155" t="str">
        <f t="shared" si="2"/>
        <v>10652911</v>
      </c>
      <c r="K155" s="225" t="s">
        <v>191</v>
      </c>
    </row>
    <row r="156" spans="1:11">
      <c r="A156" s="207">
        <v>155</v>
      </c>
      <c r="B156" s="208" t="s">
        <v>203</v>
      </c>
      <c r="C156" s="208">
        <v>22000042</v>
      </c>
      <c r="D156" s="209" t="s">
        <v>216</v>
      </c>
      <c r="E156" s="36" t="s">
        <v>17</v>
      </c>
      <c r="F156" s="36" t="s">
        <v>14</v>
      </c>
      <c r="G156" s="207">
        <v>2912</v>
      </c>
      <c r="H156" t="str">
        <f>_xlfn.XLOOKUP(B156,[2]Sheet0!$B$2:$B$27,[2]Sheet0!$A$2:$A$27)</f>
        <v>1065</v>
      </c>
      <c r="I156" t="str">
        <f t="shared" si="2"/>
        <v>10652912</v>
      </c>
      <c r="K156" s="225" t="s">
        <v>192</v>
      </c>
    </row>
    <row r="157" spans="1:11">
      <c r="A157" s="207">
        <v>156</v>
      </c>
      <c r="B157" s="208" t="s">
        <v>203</v>
      </c>
      <c r="C157" s="208">
        <v>22000013</v>
      </c>
      <c r="D157" s="209" t="s">
        <v>217</v>
      </c>
      <c r="E157" s="36" t="s">
        <v>27</v>
      </c>
      <c r="F157" s="36" t="s">
        <v>14</v>
      </c>
      <c r="G157" s="207">
        <v>2913</v>
      </c>
      <c r="H157" t="str">
        <f>_xlfn.XLOOKUP(B157,[2]Sheet0!$B$2:$B$27,[2]Sheet0!$A$2:$A$27)</f>
        <v>1065</v>
      </c>
      <c r="I157" t="str">
        <f t="shared" si="2"/>
        <v>10652913</v>
      </c>
      <c r="K157" s="225" t="s">
        <v>194</v>
      </c>
    </row>
    <row r="158" spans="1:11">
      <c r="A158" s="207">
        <v>157</v>
      </c>
      <c r="B158" s="208" t="s">
        <v>203</v>
      </c>
      <c r="C158" s="208">
        <v>21000031</v>
      </c>
      <c r="D158" s="209" t="s">
        <v>218</v>
      </c>
      <c r="E158" s="36" t="s">
        <v>17</v>
      </c>
      <c r="F158" s="36" t="s">
        <v>14</v>
      </c>
      <c r="G158" s="207">
        <v>2914</v>
      </c>
      <c r="H158" t="str">
        <f>_xlfn.XLOOKUP(B158,[2]Sheet0!$B$2:$B$27,[2]Sheet0!$A$2:$A$27)</f>
        <v>1065</v>
      </c>
      <c r="I158" t="str">
        <f t="shared" si="2"/>
        <v>10652914</v>
      </c>
      <c r="K158" s="225" t="s">
        <v>195</v>
      </c>
    </row>
    <row r="159" spans="1:11">
      <c r="A159" s="207">
        <v>158</v>
      </c>
      <c r="B159" s="208" t="s">
        <v>203</v>
      </c>
      <c r="C159" s="208">
        <v>22000015</v>
      </c>
      <c r="D159" s="209" t="s">
        <v>219</v>
      </c>
      <c r="E159" s="36" t="s">
        <v>27</v>
      </c>
      <c r="F159" s="36" t="s">
        <v>14</v>
      </c>
      <c r="G159" s="207">
        <v>2915</v>
      </c>
      <c r="H159" t="str">
        <f>_xlfn.XLOOKUP(B159,[2]Sheet0!$B$2:$B$27,[2]Sheet0!$A$2:$A$27)</f>
        <v>1065</v>
      </c>
      <c r="I159" t="str">
        <f t="shared" si="2"/>
        <v>10652915</v>
      </c>
      <c r="K159" s="225" t="s">
        <v>196</v>
      </c>
    </row>
    <row r="160" spans="1:11">
      <c r="A160" s="207">
        <v>159</v>
      </c>
      <c r="B160" s="208" t="s">
        <v>203</v>
      </c>
      <c r="C160" s="208">
        <v>22000017</v>
      </c>
      <c r="D160" s="212" t="s">
        <v>220</v>
      </c>
      <c r="E160" s="36" t="s">
        <v>221</v>
      </c>
      <c r="F160" s="36" t="s">
        <v>14</v>
      </c>
      <c r="G160" s="207">
        <v>2916</v>
      </c>
      <c r="H160" t="str">
        <f>_xlfn.XLOOKUP(B160,[2]Sheet0!$B$2:$B$27,[2]Sheet0!$A$2:$A$27)</f>
        <v>1065</v>
      </c>
      <c r="I160" t="str">
        <f t="shared" si="2"/>
        <v>10652916</v>
      </c>
      <c r="K160" s="225" t="s">
        <v>197</v>
      </c>
    </row>
    <row r="161" spans="1:11">
      <c r="A161" s="207">
        <v>160</v>
      </c>
      <c r="B161" s="208" t="s">
        <v>203</v>
      </c>
      <c r="C161" s="208">
        <v>22000029</v>
      </c>
      <c r="D161" s="212" t="s">
        <v>222</v>
      </c>
      <c r="E161" s="36" t="s">
        <v>17</v>
      </c>
      <c r="F161" s="36" t="s">
        <v>14</v>
      </c>
      <c r="G161" s="207">
        <v>2917</v>
      </c>
      <c r="H161" t="str">
        <f>_xlfn.XLOOKUP(B161,[2]Sheet0!$B$2:$B$27,[2]Sheet0!$A$2:$A$27)</f>
        <v>1065</v>
      </c>
      <c r="I161" t="str">
        <f t="shared" si="2"/>
        <v>10652917</v>
      </c>
      <c r="K161" s="225" t="s">
        <v>198</v>
      </c>
    </row>
    <row r="162" spans="1:11">
      <c r="A162" s="207">
        <v>161</v>
      </c>
      <c r="B162" s="208" t="s">
        <v>203</v>
      </c>
      <c r="C162" s="208">
        <v>22000018</v>
      </c>
      <c r="D162" s="209" t="s">
        <v>223</v>
      </c>
      <c r="E162" s="36" t="s">
        <v>27</v>
      </c>
      <c r="F162" s="36" t="s">
        <v>14</v>
      </c>
      <c r="G162" s="207">
        <v>2918</v>
      </c>
      <c r="H162" t="str">
        <f>_xlfn.XLOOKUP(B162,[2]Sheet0!$B$2:$B$27,[2]Sheet0!$A$2:$A$27)</f>
        <v>1065</v>
      </c>
      <c r="I162" t="str">
        <f t="shared" si="2"/>
        <v>10652918</v>
      </c>
      <c r="K162" s="225" t="s">
        <v>199</v>
      </c>
    </row>
    <row r="163" spans="1:11">
      <c r="A163" s="207">
        <v>162</v>
      </c>
      <c r="B163" s="208" t="s">
        <v>203</v>
      </c>
      <c r="C163" s="208">
        <v>22000030</v>
      </c>
      <c r="D163" s="209" t="s">
        <v>224</v>
      </c>
      <c r="E163" s="36" t="s">
        <v>27</v>
      </c>
      <c r="F163" s="36" t="s">
        <v>14</v>
      </c>
      <c r="G163" s="207">
        <v>2919</v>
      </c>
      <c r="H163" t="str">
        <f>_xlfn.XLOOKUP(B163,[2]Sheet0!$B$2:$B$27,[2]Sheet0!$A$2:$A$27)</f>
        <v>1065</v>
      </c>
      <c r="I163" t="str">
        <f t="shared" si="2"/>
        <v>10652919</v>
      </c>
      <c r="K163" s="225" t="s">
        <v>200</v>
      </c>
    </row>
    <row r="164" spans="1:11">
      <c r="A164" s="207">
        <v>163</v>
      </c>
      <c r="B164" s="208" t="s">
        <v>203</v>
      </c>
      <c r="C164" s="208"/>
      <c r="D164" s="211" t="s">
        <v>225</v>
      </c>
      <c r="E164" s="36" t="s">
        <v>27</v>
      </c>
      <c r="F164" s="36" t="s">
        <v>14</v>
      </c>
      <c r="G164" s="207">
        <v>2920</v>
      </c>
      <c r="H164" t="str">
        <f>_xlfn.XLOOKUP(B164,[2]Sheet0!$B$2:$B$27,[2]Sheet0!$A$2:$A$27)</f>
        <v>1065</v>
      </c>
      <c r="I164" t="str">
        <f t="shared" si="2"/>
        <v>10652920</v>
      </c>
      <c r="K164" s="225" t="s">
        <v>201</v>
      </c>
    </row>
    <row r="165" spans="1:11">
      <c r="A165" s="207">
        <v>164</v>
      </c>
      <c r="B165" s="208" t="s">
        <v>203</v>
      </c>
      <c r="C165" s="208">
        <v>22000031</v>
      </c>
      <c r="D165" s="209" t="s">
        <v>226</v>
      </c>
      <c r="E165" s="36" t="s">
        <v>27</v>
      </c>
      <c r="F165" s="36" t="s">
        <v>14</v>
      </c>
      <c r="G165" s="207">
        <v>2921</v>
      </c>
      <c r="H165" t="str">
        <f>_xlfn.XLOOKUP(B165,[2]Sheet0!$B$2:$B$27,[2]Sheet0!$A$2:$A$27)</f>
        <v>1065</v>
      </c>
      <c r="I165" t="str">
        <f t="shared" si="2"/>
        <v>10652921</v>
      </c>
      <c r="K165" s="225" t="s">
        <v>202</v>
      </c>
    </row>
    <row r="166" spans="1:11">
      <c r="A166" s="207">
        <v>165</v>
      </c>
      <c r="B166" s="208" t="s">
        <v>203</v>
      </c>
      <c r="C166" s="208">
        <v>22000037</v>
      </c>
      <c r="D166" s="212" t="s">
        <v>227</v>
      </c>
      <c r="E166" s="36" t="s">
        <v>27</v>
      </c>
      <c r="F166" s="36" t="s">
        <v>14</v>
      </c>
      <c r="G166" s="207">
        <v>2922</v>
      </c>
      <c r="H166" t="str">
        <f>_xlfn.XLOOKUP(B166,[2]Sheet0!$B$2:$B$27,[2]Sheet0!$A$2:$A$27)</f>
        <v>1065</v>
      </c>
      <c r="I166" t="str">
        <f t="shared" si="2"/>
        <v>10652922</v>
      </c>
      <c r="K166" s="225" t="s">
        <v>228</v>
      </c>
    </row>
    <row r="167" spans="1:11">
      <c r="A167" s="207">
        <v>166</v>
      </c>
      <c r="B167" s="208" t="s">
        <v>229</v>
      </c>
      <c r="C167" s="208">
        <v>22000032</v>
      </c>
      <c r="D167" s="212" t="s">
        <v>230</v>
      </c>
      <c r="E167" s="36" t="s">
        <v>231</v>
      </c>
      <c r="F167" s="36" t="s">
        <v>14</v>
      </c>
      <c r="G167" s="207">
        <v>3201</v>
      </c>
      <c r="H167" t="str">
        <f>_xlfn.XLOOKUP(B167,[2]Sheet0!$B$2:$B$27,[2]Sheet0!$A$2:$A$27)</f>
        <v>1070</v>
      </c>
      <c r="I167" t="str">
        <f t="shared" si="2"/>
        <v>10703201</v>
      </c>
      <c r="K167" s="225" t="s">
        <v>232</v>
      </c>
    </row>
    <row r="168" spans="1:11">
      <c r="A168" s="207">
        <v>167</v>
      </c>
      <c r="B168" s="208" t="s">
        <v>229</v>
      </c>
      <c r="C168" s="208">
        <v>22000033</v>
      </c>
      <c r="D168" s="212" t="s">
        <v>233</v>
      </c>
      <c r="E168" s="36" t="s">
        <v>231</v>
      </c>
      <c r="F168" s="36" t="s">
        <v>14</v>
      </c>
      <c r="G168" s="207">
        <v>3202</v>
      </c>
      <c r="H168" t="str">
        <f>_xlfn.XLOOKUP(B168,[2]Sheet0!$B$2:$B$27,[2]Sheet0!$A$2:$A$27)</f>
        <v>1070</v>
      </c>
      <c r="I168" t="str">
        <f t="shared" si="2"/>
        <v>10703202</v>
      </c>
      <c r="K168" s="225" t="s">
        <v>234</v>
      </c>
    </row>
    <row r="169" spans="1:11">
      <c r="A169" s="207">
        <v>168</v>
      </c>
      <c r="B169" s="208" t="s">
        <v>229</v>
      </c>
      <c r="C169" s="208">
        <v>22000034</v>
      </c>
      <c r="D169" s="209" t="s">
        <v>235</v>
      </c>
      <c r="E169" s="36" t="s">
        <v>27</v>
      </c>
      <c r="F169" s="36" t="s">
        <v>14</v>
      </c>
      <c r="G169" s="207">
        <v>3203</v>
      </c>
      <c r="H169" t="str">
        <f>_xlfn.XLOOKUP(B169,[2]Sheet0!$B$2:$B$27,[2]Sheet0!$A$2:$A$27)</f>
        <v>1070</v>
      </c>
      <c r="I169" t="str">
        <f t="shared" si="2"/>
        <v>10703203</v>
      </c>
      <c r="K169" s="225" t="s">
        <v>236</v>
      </c>
    </row>
    <row r="170" spans="1:11">
      <c r="A170" s="207">
        <v>169</v>
      </c>
      <c r="B170" s="208" t="s">
        <v>229</v>
      </c>
      <c r="C170" s="208"/>
      <c r="D170" s="211" t="s">
        <v>237</v>
      </c>
      <c r="E170" s="36" t="s">
        <v>27</v>
      </c>
      <c r="F170" s="36" t="s">
        <v>14</v>
      </c>
      <c r="G170" s="207">
        <v>3204</v>
      </c>
      <c r="H170" t="str">
        <f>_xlfn.XLOOKUP(B170,[2]Sheet0!$B$2:$B$27,[2]Sheet0!$A$2:$A$27)</f>
        <v>1070</v>
      </c>
      <c r="I170" t="str">
        <f t="shared" si="2"/>
        <v>10703204</v>
      </c>
      <c r="K170" s="225" t="s">
        <v>238</v>
      </c>
    </row>
    <row r="171" spans="1:11">
      <c r="A171" s="207">
        <v>170</v>
      </c>
      <c r="B171" s="208" t="s">
        <v>229</v>
      </c>
      <c r="C171" s="208">
        <v>22000035</v>
      </c>
      <c r="D171" s="209" t="s">
        <v>239</v>
      </c>
      <c r="E171" s="36" t="s">
        <v>27</v>
      </c>
      <c r="F171" s="36" t="s">
        <v>14</v>
      </c>
      <c r="G171" s="207">
        <v>3205</v>
      </c>
      <c r="H171" t="str">
        <f>_xlfn.XLOOKUP(B171,[2]Sheet0!$B$2:$B$27,[2]Sheet0!$A$2:$A$27)</f>
        <v>1070</v>
      </c>
      <c r="I171" t="str">
        <f t="shared" si="2"/>
        <v>10703205</v>
      </c>
      <c r="K171" s="225" t="s">
        <v>240</v>
      </c>
    </row>
    <row r="172" spans="1:11">
      <c r="A172" s="207">
        <v>171</v>
      </c>
      <c r="B172" s="208" t="s">
        <v>229</v>
      </c>
      <c r="C172" s="208">
        <v>22000036</v>
      </c>
      <c r="D172" s="209" t="s">
        <v>241</v>
      </c>
      <c r="E172" s="36" t="s">
        <v>27</v>
      </c>
      <c r="F172" s="36" t="s">
        <v>14</v>
      </c>
      <c r="G172" s="207">
        <v>3206</v>
      </c>
      <c r="H172" t="str">
        <f>_xlfn.XLOOKUP(B172,[2]Sheet0!$B$2:$B$27,[2]Sheet0!$A$2:$A$27)</f>
        <v>1070</v>
      </c>
      <c r="I172" t="str">
        <f t="shared" si="2"/>
        <v>10703206</v>
      </c>
      <c r="K172" s="225" t="s">
        <v>242</v>
      </c>
    </row>
    <row r="173" spans="1:11">
      <c r="A173" s="207">
        <v>172</v>
      </c>
      <c r="B173" s="208" t="s">
        <v>229</v>
      </c>
      <c r="C173" s="208">
        <v>22000038</v>
      </c>
      <c r="D173" s="209" t="s">
        <v>243</v>
      </c>
      <c r="E173" s="36" t="s">
        <v>11</v>
      </c>
      <c r="F173" s="36" t="s">
        <v>14</v>
      </c>
      <c r="G173" s="207">
        <v>3207</v>
      </c>
      <c r="H173" t="str">
        <f>_xlfn.XLOOKUP(B173,[2]Sheet0!$B$2:$B$27,[2]Sheet0!$A$2:$A$27)</f>
        <v>1070</v>
      </c>
      <c r="I173" t="str">
        <f t="shared" si="2"/>
        <v>10703207</v>
      </c>
      <c r="K173" s="225" t="s">
        <v>244</v>
      </c>
    </row>
    <row r="174" spans="1:11">
      <c r="A174" s="207">
        <v>173</v>
      </c>
      <c r="B174" s="208" t="s">
        <v>229</v>
      </c>
      <c r="C174" s="208">
        <v>22000039</v>
      </c>
      <c r="D174" s="209" t="s">
        <v>245</v>
      </c>
      <c r="E174" s="36" t="s">
        <v>27</v>
      </c>
      <c r="F174" s="36" t="s">
        <v>14</v>
      </c>
      <c r="G174" s="207">
        <v>3208</v>
      </c>
      <c r="H174" t="str">
        <f>_xlfn.XLOOKUP(B174,[2]Sheet0!$B$2:$B$27,[2]Sheet0!$A$2:$A$27)</f>
        <v>1070</v>
      </c>
      <c r="I174" t="str">
        <f t="shared" si="2"/>
        <v>10703208</v>
      </c>
      <c r="K174" s="225" t="s">
        <v>246</v>
      </c>
    </row>
    <row r="175" spans="1:11">
      <c r="A175" s="207">
        <v>174</v>
      </c>
      <c r="B175" s="208" t="s">
        <v>229</v>
      </c>
      <c r="C175" s="208">
        <v>22000040</v>
      </c>
      <c r="D175" s="209" t="s">
        <v>247</v>
      </c>
      <c r="E175" s="36" t="s">
        <v>27</v>
      </c>
      <c r="F175" s="36" t="s">
        <v>14</v>
      </c>
      <c r="G175" s="207">
        <v>3209</v>
      </c>
      <c r="H175" t="str">
        <f>_xlfn.XLOOKUP(B175,[2]Sheet0!$B$2:$B$27,[2]Sheet0!$A$2:$A$27)</f>
        <v>1070</v>
      </c>
      <c r="I175" t="str">
        <f t="shared" si="2"/>
        <v>10703209</v>
      </c>
      <c r="K175" s="225" t="s">
        <v>248</v>
      </c>
    </row>
    <row r="176" spans="1:11">
      <c r="A176" s="207">
        <v>175</v>
      </c>
      <c r="B176" s="208" t="s">
        <v>249</v>
      </c>
      <c r="C176" s="229">
        <v>26000001</v>
      </c>
      <c r="D176" s="212" t="s">
        <v>250</v>
      </c>
      <c r="E176" s="212" t="s">
        <v>27</v>
      </c>
      <c r="F176" s="36" t="s">
        <v>12</v>
      </c>
      <c r="G176" s="207">
        <v>3101</v>
      </c>
      <c r="H176" t="str">
        <f>_xlfn.XLOOKUP(B176,[2]Sheet0!$B$2:$B$27,[2]Sheet0!$A$2:$A$27)</f>
        <v>1075</v>
      </c>
      <c r="I176" t="str">
        <f t="shared" si="2"/>
        <v>10753101</v>
      </c>
      <c r="K176" s="225" t="s">
        <v>251</v>
      </c>
    </row>
    <row r="177" spans="1:11">
      <c r="A177" s="207">
        <v>176</v>
      </c>
      <c r="B177" s="208" t="s">
        <v>249</v>
      </c>
      <c r="C177" s="229">
        <v>26000002</v>
      </c>
      <c r="D177" s="212" t="s">
        <v>252</v>
      </c>
      <c r="E177" s="212" t="s">
        <v>27</v>
      </c>
      <c r="F177" s="36" t="s">
        <v>14</v>
      </c>
      <c r="G177" s="207">
        <v>3102</v>
      </c>
      <c r="H177" t="str">
        <f>_xlfn.XLOOKUP(B177,[2]Sheet0!$B$2:$B$27,[2]Sheet0!$A$2:$A$27)</f>
        <v>1075</v>
      </c>
      <c r="I177" t="str">
        <f t="shared" si="2"/>
        <v>10753102</v>
      </c>
      <c r="K177" s="225" t="s">
        <v>253</v>
      </c>
    </row>
    <row r="178" spans="1:11">
      <c r="A178" s="207">
        <v>177</v>
      </c>
      <c r="B178" s="208" t="s">
        <v>249</v>
      </c>
      <c r="C178" s="229">
        <v>26000003</v>
      </c>
      <c r="D178" s="212" t="s">
        <v>254</v>
      </c>
      <c r="E178" s="212" t="s">
        <v>27</v>
      </c>
      <c r="F178" s="36" t="s">
        <v>14</v>
      </c>
      <c r="G178" s="207">
        <v>3103</v>
      </c>
      <c r="H178" t="str">
        <f>_xlfn.XLOOKUP(B178,[2]Sheet0!$B$2:$B$27,[2]Sheet0!$A$2:$A$27)</f>
        <v>1075</v>
      </c>
      <c r="I178" t="str">
        <f t="shared" si="2"/>
        <v>10753103</v>
      </c>
      <c r="K178" s="225" t="s">
        <v>255</v>
      </c>
    </row>
    <row r="179" spans="1:11">
      <c r="A179" s="207">
        <v>178</v>
      </c>
      <c r="B179" s="208" t="s">
        <v>249</v>
      </c>
      <c r="C179" s="229">
        <v>26000004</v>
      </c>
      <c r="D179" s="212" t="s">
        <v>256</v>
      </c>
      <c r="E179" s="212" t="s">
        <v>27</v>
      </c>
      <c r="F179" s="36" t="s">
        <v>14</v>
      </c>
      <c r="G179" s="207">
        <v>3104</v>
      </c>
      <c r="H179" t="str">
        <f>_xlfn.XLOOKUP(B179,[2]Sheet0!$B$2:$B$27,[2]Sheet0!$A$2:$A$27)</f>
        <v>1075</v>
      </c>
      <c r="I179" t="str">
        <f t="shared" si="2"/>
        <v>10753104</v>
      </c>
      <c r="K179" s="225" t="s">
        <v>257</v>
      </c>
    </row>
    <row r="180" spans="1:11">
      <c r="A180" s="207">
        <v>179</v>
      </c>
      <c r="B180" s="208" t="s">
        <v>249</v>
      </c>
      <c r="C180" s="229">
        <v>26000005</v>
      </c>
      <c r="D180" s="212" t="s">
        <v>258</v>
      </c>
      <c r="E180" s="212" t="s">
        <v>27</v>
      </c>
      <c r="F180" s="36" t="s">
        <v>14</v>
      </c>
      <c r="G180" s="207">
        <v>3105</v>
      </c>
      <c r="H180" t="str">
        <f>_xlfn.XLOOKUP(B180,[2]Sheet0!$B$2:$B$27,[2]Sheet0!$A$2:$A$27)</f>
        <v>1075</v>
      </c>
      <c r="I180" t="str">
        <f t="shared" si="2"/>
        <v>10753105</v>
      </c>
      <c r="K180" s="225" t="s">
        <v>259</v>
      </c>
    </row>
    <row r="181" spans="1:11">
      <c r="A181" s="207">
        <v>180</v>
      </c>
      <c r="B181" s="208" t="s">
        <v>249</v>
      </c>
      <c r="C181" s="229">
        <v>26000006</v>
      </c>
      <c r="D181" s="212" t="s">
        <v>260</v>
      </c>
      <c r="E181" s="212" t="s">
        <v>27</v>
      </c>
      <c r="F181" s="36" t="s">
        <v>14</v>
      </c>
      <c r="G181" s="207">
        <v>3106</v>
      </c>
      <c r="H181" t="str">
        <f>_xlfn.XLOOKUP(B181,[2]Sheet0!$B$2:$B$27,[2]Sheet0!$A$2:$A$27)</f>
        <v>1075</v>
      </c>
      <c r="I181" t="str">
        <f t="shared" si="2"/>
        <v>10753106</v>
      </c>
      <c r="K181" s="225" t="s">
        <v>261</v>
      </c>
    </row>
    <row r="182" spans="1:11">
      <c r="A182" s="207">
        <v>181</v>
      </c>
      <c r="B182" s="208" t="s">
        <v>249</v>
      </c>
      <c r="C182" s="229">
        <v>26000007</v>
      </c>
      <c r="D182" s="212" t="s">
        <v>262</v>
      </c>
      <c r="E182" s="212" t="s">
        <v>27</v>
      </c>
      <c r="F182" s="36" t="s">
        <v>14</v>
      </c>
      <c r="G182" s="207">
        <v>3107</v>
      </c>
      <c r="H182" t="str">
        <f>_xlfn.XLOOKUP(B182,[2]Sheet0!$B$2:$B$27,[2]Sheet0!$A$2:$A$27)</f>
        <v>1075</v>
      </c>
      <c r="I182" t="str">
        <f t="shared" si="2"/>
        <v>10753107</v>
      </c>
      <c r="K182" s="225" t="s">
        <v>263</v>
      </c>
    </row>
    <row r="183" spans="1:11">
      <c r="A183" s="207">
        <v>182</v>
      </c>
      <c r="B183" s="208" t="s">
        <v>264</v>
      </c>
      <c r="C183" s="229">
        <v>27000001</v>
      </c>
      <c r="D183" s="212" t="s">
        <v>265</v>
      </c>
      <c r="E183" s="212" t="s">
        <v>27</v>
      </c>
      <c r="F183" s="36" t="s">
        <v>14</v>
      </c>
      <c r="G183" s="207">
        <v>3301</v>
      </c>
      <c r="H183" t="str">
        <f>_xlfn.XLOOKUP(B183,[2]Sheet0!$B$2:$B$27,[2]Sheet0!$A$2:$A$27)</f>
        <v>1080</v>
      </c>
      <c r="I183" t="str">
        <f t="shared" si="2"/>
        <v>10803301</v>
      </c>
      <c r="K183" s="225" t="s">
        <v>266</v>
      </c>
    </row>
    <row r="184" spans="1:11">
      <c r="A184" s="207">
        <v>183</v>
      </c>
      <c r="B184" s="208" t="s">
        <v>264</v>
      </c>
      <c r="C184" s="229">
        <v>27000002</v>
      </c>
      <c r="D184" s="212" t="s">
        <v>267</v>
      </c>
      <c r="E184" s="212" t="s">
        <v>27</v>
      </c>
      <c r="F184" s="36" t="s">
        <v>14</v>
      </c>
      <c r="G184" s="207">
        <v>3302</v>
      </c>
      <c r="H184" t="str">
        <f>_xlfn.XLOOKUP(B184,[2]Sheet0!$B$2:$B$27,[2]Sheet0!$A$2:$A$27)</f>
        <v>1080</v>
      </c>
      <c r="I184" t="str">
        <f t="shared" si="2"/>
        <v>10803302</v>
      </c>
      <c r="K184" s="225" t="s">
        <v>268</v>
      </c>
    </row>
    <row r="185" spans="1:11">
      <c r="A185" s="207">
        <v>184</v>
      </c>
      <c r="B185" s="208" t="s">
        <v>264</v>
      </c>
      <c r="C185" s="229">
        <v>27000003</v>
      </c>
      <c r="D185" s="212" t="s">
        <v>269</v>
      </c>
      <c r="E185" s="36" t="s">
        <v>11</v>
      </c>
      <c r="F185" s="36" t="s">
        <v>14</v>
      </c>
      <c r="G185" s="207">
        <v>3303</v>
      </c>
      <c r="H185" t="str">
        <f>_xlfn.XLOOKUP(B185,[2]Sheet0!$B$2:$B$27,[2]Sheet0!$A$2:$A$27)</f>
        <v>1080</v>
      </c>
      <c r="I185" t="str">
        <f t="shared" si="2"/>
        <v>10803303</v>
      </c>
      <c r="K185" s="225" t="s">
        <v>270</v>
      </c>
    </row>
    <row r="186" spans="1:11">
      <c r="A186" s="207">
        <v>185</v>
      </c>
      <c r="B186" s="208" t="s">
        <v>264</v>
      </c>
      <c r="C186" s="229">
        <v>27000004</v>
      </c>
      <c r="D186" s="212" t="s">
        <v>271</v>
      </c>
      <c r="E186" s="212" t="s">
        <v>27</v>
      </c>
      <c r="F186" s="36" t="s">
        <v>14</v>
      </c>
      <c r="G186" s="207">
        <v>3304</v>
      </c>
      <c r="H186" t="str">
        <f>_xlfn.XLOOKUP(B186,[2]Sheet0!$B$2:$B$27,[2]Sheet0!$A$2:$A$27)</f>
        <v>1080</v>
      </c>
      <c r="I186" t="str">
        <f t="shared" si="2"/>
        <v>10803304</v>
      </c>
      <c r="K186" s="225" t="s">
        <v>272</v>
      </c>
    </row>
    <row r="187" spans="1:11">
      <c r="A187" s="207">
        <v>186</v>
      </c>
      <c r="B187" s="208" t="s">
        <v>264</v>
      </c>
      <c r="C187" s="229">
        <v>27000005</v>
      </c>
      <c r="D187" s="212" t="s">
        <v>273</v>
      </c>
      <c r="E187" s="212" t="s">
        <v>27</v>
      </c>
      <c r="F187" s="36" t="s">
        <v>14</v>
      </c>
      <c r="G187" s="207">
        <v>3305</v>
      </c>
      <c r="H187" t="str">
        <f>_xlfn.XLOOKUP(B187,[2]Sheet0!$B$2:$B$27,[2]Sheet0!$A$2:$A$27)</f>
        <v>1080</v>
      </c>
      <c r="I187" t="str">
        <f t="shared" si="2"/>
        <v>10803305</v>
      </c>
      <c r="K187" s="225" t="s">
        <v>274</v>
      </c>
    </row>
    <row r="188" spans="1:11">
      <c r="A188" s="207">
        <v>187</v>
      </c>
      <c r="B188" s="208" t="s">
        <v>264</v>
      </c>
      <c r="C188" s="229">
        <v>27000006</v>
      </c>
      <c r="D188" s="212" t="s">
        <v>275</v>
      </c>
      <c r="E188" s="212" t="s">
        <v>27</v>
      </c>
      <c r="F188" s="36" t="s">
        <v>14</v>
      </c>
      <c r="G188" s="207">
        <v>3306</v>
      </c>
      <c r="H188" t="str">
        <f>_xlfn.XLOOKUP(B188,[2]Sheet0!$B$2:$B$27,[2]Sheet0!$A$2:$A$27)</f>
        <v>1080</v>
      </c>
      <c r="I188" t="str">
        <f t="shared" si="2"/>
        <v>10803306</v>
      </c>
      <c r="K188" s="225" t="s">
        <v>276</v>
      </c>
    </row>
    <row r="189" spans="1:11">
      <c r="A189" s="207">
        <v>188</v>
      </c>
      <c r="B189" s="208" t="s">
        <v>264</v>
      </c>
      <c r="C189" s="229">
        <v>27000007</v>
      </c>
      <c r="D189" s="212" t="s">
        <v>277</v>
      </c>
      <c r="E189" s="212" t="s">
        <v>27</v>
      </c>
      <c r="F189" s="36" t="s">
        <v>14</v>
      </c>
      <c r="G189" s="207">
        <v>3307</v>
      </c>
      <c r="H189" t="str">
        <f>_xlfn.XLOOKUP(B189,[2]Sheet0!$B$2:$B$27,[2]Sheet0!$A$2:$A$27)</f>
        <v>1080</v>
      </c>
      <c r="I189" t="str">
        <f t="shared" si="2"/>
        <v>10803307</v>
      </c>
      <c r="K189" s="225" t="s">
        <v>278</v>
      </c>
    </row>
    <row r="190" spans="1:11">
      <c r="B190" s="208" t="s">
        <v>279</v>
      </c>
      <c r="C190" s="229"/>
      <c r="D190" s="212" t="s">
        <v>120</v>
      </c>
      <c r="E190" s="208" t="s">
        <v>280</v>
      </c>
      <c r="F190" s="36" t="s">
        <v>14</v>
      </c>
      <c r="G190" s="37">
        <v>1601</v>
      </c>
      <c r="H190" t="str">
        <f>_xlfn.XLOOKUP(B190,[2]Sheet0!$B$2:$B$27,[2]Sheet0!$A$2:$A$27)</f>
        <v>1021</v>
      </c>
      <c r="I190" t="str">
        <f t="shared" si="2"/>
        <v>10211601</v>
      </c>
      <c r="K190" s="225" t="s">
        <v>281</v>
      </c>
    </row>
    <row r="191" spans="1:11">
      <c r="B191" s="208" t="s">
        <v>279</v>
      </c>
      <c r="C191" s="229"/>
      <c r="D191" s="212" t="s">
        <v>122</v>
      </c>
      <c r="E191" s="208" t="s">
        <v>282</v>
      </c>
      <c r="F191" s="36" t="s">
        <v>14</v>
      </c>
      <c r="G191" s="37">
        <v>1602</v>
      </c>
      <c r="H191" t="str">
        <f>_xlfn.XLOOKUP(B191,[2]Sheet0!$B$2:$B$27,[2]Sheet0!$A$2:$A$27)</f>
        <v>1021</v>
      </c>
      <c r="I191" t="str">
        <f t="shared" si="2"/>
        <v>10211602</v>
      </c>
      <c r="K191" s="225" t="s">
        <v>204</v>
      </c>
    </row>
    <row r="192" spans="1:11">
      <c r="B192" s="208" t="s">
        <v>279</v>
      </c>
      <c r="C192" s="229"/>
      <c r="D192" s="212" t="s">
        <v>124</v>
      </c>
      <c r="E192" s="208" t="s">
        <v>280</v>
      </c>
      <c r="F192" s="36" t="s">
        <v>14</v>
      </c>
      <c r="G192" s="37">
        <v>1603</v>
      </c>
      <c r="H192" t="str">
        <f>_xlfn.XLOOKUP(B192,[2]Sheet0!$B$2:$B$27,[2]Sheet0!$A$2:$A$27)</f>
        <v>1021</v>
      </c>
      <c r="I192" t="str">
        <f t="shared" si="2"/>
        <v>10211603</v>
      </c>
      <c r="K192" s="225" t="s">
        <v>205</v>
      </c>
    </row>
    <row r="193" spans="2:11">
      <c r="B193" s="208" t="s">
        <v>279</v>
      </c>
      <c r="C193" s="229"/>
      <c r="D193" s="212" t="s">
        <v>126</v>
      </c>
      <c r="E193" s="208" t="s">
        <v>280</v>
      </c>
      <c r="F193" s="36" t="s">
        <v>14</v>
      </c>
      <c r="G193" s="37">
        <v>1604</v>
      </c>
      <c r="H193" t="str">
        <f>_xlfn.XLOOKUP(B193,[2]Sheet0!$B$2:$B$27,[2]Sheet0!$A$2:$A$27)</f>
        <v>1021</v>
      </c>
      <c r="I193" t="str">
        <f t="shared" si="2"/>
        <v>10211604</v>
      </c>
      <c r="K193" s="225" t="s">
        <v>206</v>
      </c>
    </row>
    <row r="194" spans="2:11">
      <c r="B194" s="208" t="s">
        <v>279</v>
      </c>
      <c r="C194" s="229"/>
      <c r="D194" s="212" t="s">
        <v>128</v>
      </c>
      <c r="E194" s="208" t="s">
        <v>280</v>
      </c>
      <c r="F194" s="36" t="s">
        <v>14</v>
      </c>
      <c r="G194" s="37">
        <v>1605</v>
      </c>
      <c r="H194" t="str">
        <f>_xlfn.XLOOKUP(B194,[2]Sheet0!$B$2:$B$27,[2]Sheet0!$A$2:$A$27)</f>
        <v>1021</v>
      </c>
      <c r="I194" t="str">
        <f t="shared" si="2"/>
        <v>10211605</v>
      </c>
      <c r="K194" s="225" t="s">
        <v>208</v>
      </c>
    </row>
    <row r="195" spans="2:11">
      <c r="B195" s="208" t="s">
        <v>283</v>
      </c>
      <c r="C195" s="229"/>
      <c r="D195" s="212" t="s">
        <v>284</v>
      </c>
      <c r="E195" s="208" t="s">
        <v>280</v>
      </c>
      <c r="F195" s="36" t="s">
        <v>14</v>
      </c>
      <c r="G195" s="37">
        <v>3401</v>
      </c>
      <c r="H195" t="str">
        <f>_xlfn.XLOOKUP(B195,[2]Sheet0!$B$2:$B$27,[2]Sheet0!$A$2:$A$27)</f>
        <v>1095</v>
      </c>
      <c r="I195" t="str">
        <f t="shared" ref="I195:I252" si="3">H195&amp;G195</f>
        <v>10953401</v>
      </c>
      <c r="K195" s="225" t="s">
        <v>209</v>
      </c>
    </row>
    <row r="196" spans="2:11">
      <c r="B196" s="208" t="s">
        <v>283</v>
      </c>
      <c r="C196" s="229"/>
      <c r="D196" s="212" t="s">
        <v>285</v>
      </c>
      <c r="E196" s="208" t="s">
        <v>280</v>
      </c>
      <c r="F196" s="36" t="s">
        <v>14</v>
      </c>
      <c r="G196" s="37">
        <v>3402</v>
      </c>
      <c r="H196" t="str">
        <f>_xlfn.XLOOKUP(B196,[2]Sheet0!$B$2:$B$27,[2]Sheet0!$A$2:$A$27)</f>
        <v>1095</v>
      </c>
      <c r="I196" t="str">
        <f t="shared" si="3"/>
        <v>10953402</v>
      </c>
      <c r="K196" s="225" t="s">
        <v>210</v>
      </c>
    </row>
    <row r="197" spans="2:11">
      <c r="B197" s="208" t="s">
        <v>283</v>
      </c>
      <c r="C197" s="229"/>
      <c r="D197" s="212" t="s">
        <v>286</v>
      </c>
      <c r="E197" s="208" t="s">
        <v>280</v>
      </c>
      <c r="F197" s="36" t="s">
        <v>14</v>
      </c>
      <c r="G197" s="37">
        <v>3403</v>
      </c>
      <c r="H197" t="str">
        <f>_xlfn.XLOOKUP(B197,[2]Sheet0!$B$2:$B$27,[2]Sheet0!$A$2:$A$27)</f>
        <v>1095</v>
      </c>
      <c r="I197" t="str">
        <f t="shared" si="3"/>
        <v>10953403</v>
      </c>
      <c r="K197" s="225" t="s">
        <v>211</v>
      </c>
    </row>
    <row r="198" spans="2:11">
      <c r="B198" s="208" t="s">
        <v>283</v>
      </c>
      <c r="C198" s="229"/>
      <c r="D198" s="212" t="s">
        <v>287</v>
      </c>
      <c r="E198" s="208" t="s">
        <v>280</v>
      </c>
      <c r="F198" s="36" t="s">
        <v>14</v>
      </c>
      <c r="G198" s="37">
        <v>3404</v>
      </c>
      <c r="H198" t="str">
        <f>_xlfn.XLOOKUP(B198,[2]Sheet0!$B$2:$B$27,[2]Sheet0!$A$2:$A$27)</f>
        <v>1095</v>
      </c>
      <c r="I198" t="str">
        <f t="shared" si="3"/>
        <v>10953404</v>
      </c>
      <c r="K198" s="225" t="s">
        <v>212</v>
      </c>
    </row>
    <row r="199" spans="2:11">
      <c r="B199" s="208" t="s">
        <v>283</v>
      </c>
      <c r="C199" s="229"/>
      <c r="D199" s="212" t="s">
        <v>288</v>
      </c>
      <c r="E199" s="208" t="s">
        <v>280</v>
      </c>
      <c r="F199" s="36" t="s">
        <v>14</v>
      </c>
      <c r="G199" s="37">
        <v>3405</v>
      </c>
      <c r="H199" t="str">
        <f>_xlfn.XLOOKUP(B199,[2]Sheet0!$B$2:$B$27,[2]Sheet0!$A$2:$A$27)</f>
        <v>1095</v>
      </c>
      <c r="I199" t="str">
        <f t="shared" si="3"/>
        <v>10953405</v>
      </c>
      <c r="K199" s="225" t="s">
        <v>213</v>
      </c>
    </row>
    <row r="200" spans="2:11">
      <c r="B200" s="208" t="s">
        <v>283</v>
      </c>
      <c r="C200" s="229"/>
      <c r="D200" s="212" t="s">
        <v>289</v>
      </c>
      <c r="E200" s="208" t="s">
        <v>280</v>
      </c>
      <c r="F200" s="36" t="s">
        <v>14</v>
      </c>
      <c r="G200" s="37">
        <v>3406</v>
      </c>
      <c r="H200" t="str">
        <f>_xlfn.XLOOKUP(B200,[2]Sheet0!$B$2:$B$27,[2]Sheet0!$A$2:$A$27)</f>
        <v>1095</v>
      </c>
      <c r="I200" t="str">
        <f t="shared" si="3"/>
        <v>10953406</v>
      </c>
      <c r="K200" s="225" t="s">
        <v>214</v>
      </c>
    </row>
    <row r="201" spans="2:11">
      <c r="B201" s="208" t="s">
        <v>290</v>
      </c>
      <c r="C201" s="229"/>
      <c r="D201" s="212" t="s">
        <v>291</v>
      </c>
      <c r="E201" s="208" t="s">
        <v>280</v>
      </c>
      <c r="F201" s="36" t="s">
        <v>14</v>
      </c>
      <c r="G201" s="207">
        <v>3501</v>
      </c>
      <c r="H201" t="str">
        <f>_xlfn.XLOOKUP(B201,[2]Sheet0!$B$2:$B$27,[2]Sheet0!$A$2:$A$27)</f>
        <v>1036</v>
      </c>
      <c r="I201" t="str">
        <f t="shared" si="3"/>
        <v>10363501</v>
      </c>
      <c r="K201" s="225" t="s">
        <v>215</v>
      </c>
    </row>
    <row r="202" spans="2:11">
      <c r="B202" s="208" t="s">
        <v>290</v>
      </c>
      <c r="C202" s="229"/>
      <c r="D202" s="212" t="s">
        <v>292</v>
      </c>
      <c r="E202" s="208" t="s">
        <v>280</v>
      </c>
      <c r="F202" s="36" t="s">
        <v>14</v>
      </c>
      <c r="G202" s="207">
        <v>3502</v>
      </c>
      <c r="H202" t="str">
        <f>_xlfn.XLOOKUP(B202,[2]Sheet0!$B$2:$B$27,[2]Sheet0!$A$2:$A$27)</f>
        <v>1036</v>
      </c>
      <c r="I202" t="str">
        <f t="shared" si="3"/>
        <v>10363502</v>
      </c>
      <c r="K202" s="225" t="s">
        <v>216</v>
      </c>
    </row>
    <row r="203" spans="2:11">
      <c r="B203" s="208" t="s">
        <v>290</v>
      </c>
      <c r="C203" s="229"/>
      <c r="D203" s="212" t="s">
        <v>293</v>
      </c>
      <c r="E203" s="208" t="s">
        <v>280</v>
      </c>
      <c r="F203" s="36" t="s">
        <v>14</v>
      </c>
      <c r="G203" s="207">
        <v>3503</v>
      </c>
      <c r="H203" t="str">
        <f>_xlfn.XLOOKUP(B203,[2]Sheet0!$B$2:$B$27,[2]Sheet0!$A$2:$A$27)</f>
        <v>1036</v>
      </c>
      <c r="I203" t="str">
        <f t="shared" si="3"/>
        <v>10363503</v>
      </c>
      <c r="K203" s="225" t="s">
        <v>217</v>
      </c>
    </row>
    <row r="204" spans="2:11">
      <c r="B204" s="208" t="s">
        <v>290</v>
      </c>
      <c r="C204" s="229"/>
      <c r="D204" s="212" t="s">
        <v>294</v>
      </c>
      <c r="E204" s="208" t="s">
        <v>280</v>
      </c>
      <c r="F204" s="36" t="s">
        <v>14</v>
      </c>
      <c r="G204" s="207">
        <v>3504</v>
      </c>
      <c r="H204" t="str">
        <f>_xlfn.XLOOKUP(B204,[2]Sheet0!$B$2:$B$27,[2]Sheet0!$A$2:$A$27)</f>
        <v>1036</v>
      </c>
      <c r="I204" t="str">
        <f t="shared" si="3"/>
        <v>10363504</v>
      </c>
      <c r="K204" s="225" t="s">
        <v>218</v>
      </c>
    </row>
    <row r="205" spans="2:11">
      <c r="B205" s="208" t="s">
        <v>290</v>
      </c>
      <c r="C205" s="229"/>
      <c r="D205" s="212" t="s">
        <v>295</v>
      </c>
      <c r="E205" s="208" t="s">
        <v>280</v>
      </c>
      <c r="F205" s="36" t="s">
        <v>14</v>
      </c>
      <c r="G205" s="207">
        <v>3505</v>
      </c>
      <c r="H205" t="str">
        <f>_xlfn.XLOOKUP(B205,[2]Sheet0!$B$2:$B$27,[2]Sheet0!$A$2:$A$27)</f>
        <v>1036</v>
      </c>
      <c r="I205" t="str">
        <f t="shared" si="3"/>
        <v>10363505</v>
      </c>
      <c r="K205" s="225" t="s">
        <v>219</v>
      </c>
    </row>
    <row r="206" spans="2:11">
      <c r="B206" s="208" t="s">
        <v>290</v>
      </c>
      <c r="C206" s="229"/>
      <c r="D206" s="212" t="s">
        <v>296</v>
      </c>
      <c r="E206" s="208" t="s">
        <v>280</v>
      </c>
      <c r="F206" s="36" t="s">
        <v>14</v>
      </c>
      <c r="G206" s="207">
        <v>3506</v>
      </c>
      <c r="H206" t="str">
        <f>_xlfn.XLOOKUP(B206,[2]Sheet0!$B$2:$B$27,[2]Sheet0!$A$2:$A$27)</f>
        <v>1036</v>
      </c>
      <c r="I206" t="str">
        <f t="shared" si="3"/>
        <v>10363506</v>
      </c>
      <c r="K206" s="225" t="s">
        <v>220</v>
      </c>
    </row>
    <row r="207" spans="2:11">
      <c r="B207" s="208" t="s">
        <v>290</v>
      </c>
      <c r="C207" s="229"/>
      <c r="D207" s="212" t="s">
        <v>297</v>
      </c>
      <c r="E207" s="208" t="s">
        <v>280</v>
      </c>
      <c r="F207" s="36" t="s">
        <v>14</v>
      </c>
      <c r="G207" s="207">
        <v>3507</v>
      </c>
      <c r="H207" t="str">
        <f>_xlfn.XLOOKUP(B207,[2]Sheet0!$B$2:$B$27,[2]Sheet0!$A$2:$A$27)</f>
        <v>1036</v>
      </c>
      <c r="I207" t="str">
        <f t="shared" si="3"/>
        <v>10363507</v>
      </c>
      <c r="K207" s="225" t="s">
        <v>222</v>
      </c>
    </row>
    <row r="208" spans="2:11">
      <c r="B208" s="208" t="s">
        <v>290</v>
      </c>
      <c r="C208" s="229"/>
      <c r="D208" s="212" t="s">
        <v>298</v>
      </c>
      <c r="E208" s="208" t="s">
        <v>280</v>
      </c>
      <c r="F208" s="36" t="s">
        <v>14</v>
      </c>
      <c r="G208" s="207">
        <v>3508</v>
      </c>
      <c r="H208" t="str">
        <f>_xlfn.XLOOKUP(B208,[2]Sheet0!$B$2:$B$27,[2]Sheet0!$A$2:$A$27)</f>
        <v>1036</v>
      </c>
      <c r="I208" t="str">
        <f t="shared" si="3"/>
        <v>10363508</v>
      </c>
      <c r="K208" s="225" t="s">
        <v>223</v>
      </c>
    </row>
    <row r="209" spans="2:11">
      <c r="B209" s="208" t="s">
        <v>290</v>
      </c>
      <c r="C209" s="229"/>
      <c r="D209" s="212" t="s">
        <v>299</v>
      </c>
      <c r="E209" s="208" t="s">
        <v>280</v>
      </c>
      <c r="F209" s="36" t="s">
        <v>14</v>
      </c>
      <c r="G209" s="207">
        <v>3509</v>
      </c>
      <c r="H209" t="str">
        <f>_xlfn.XLOOKUP(B209,[2]Sheet0!$B$2:$B$27,[2]Sheet0!$A$2:$A$27)</f>
        <v>1036</v>
      </c>
      <c r="I209" t="str">
        <f t="shared" si="3"/>
        <v>10363509</v>
      </c>
      <c r="K209" s="225" t="s">
        <v>224</v>
      </c>
    </row>
    <row r="210" spans="2:11">
      <c r="B210" s="208" t="s">
        <v>290</v>
      </c>
      <c r="C210" s="229"/>
      <c r="D210" s="212" t="s">
        <v>300</v>
      </c>
      <c r="E210" s="208" t="s">
        <v>280</v>
      </c>
      <c r="F210" s="36" t="s">
        <v>14</v>
      </c>
      <c r="G210" s="207">
        <v>3510</v>
      </c>
      <c r="H210" t="str">
        <f>_xlfn.XLOOKUP(B210,[2]Sheet0!$B$2:$B$27,[2]Sheet0!$A$2:$A$27)</f>
        <v>1036</v>
      </c>
      <c r="I210" t="str">
        <f t="shared" si="3"/>
        <v>10363510</v>
      </c>
      <c r="K210" s="225" t="s">
        <v>225</v>
      </c>
    </row>
    <row r="211" spans="2:11">
      <c r="B211" s="208" t="s">
        <v>301</v>
      </c>
      <c r="C211" s="229"/>
      <c r="D211" s="212" t="s">
        <v>72</v>
      </c>
      <c r="E211" s="208" t="s">
        <v>280</v>
      </c>
      <c r="F211" s="36" t="s">
        <v>14</v>
      </c>
      <c r="G211" s="207">
        <v>1401</v>
      </c>
      <c r="H211" t="str">
        <f>_xlfn.XLOOKUP(B211,[2]Sheet0!$B$2:$B$27,[2]Sheet0!$A$2:$A$27)</f>
        <v>1100</v>
      </c>
      <c r="I211" t="str">
        <f t="shared" si="3"/>
        <v>11001401</v>
      </c>
      <c r="K211" s="225" t="s">
        <v>226</v>
      </c>
    </row>
    <row r="212" spans="2:11">
      <c r="B212" s="208" t="s">
        <v>301</v>
      </c>
      <c r="C212" s="229"/>
      <c r="D212" s="212" t="s">
        <v>74</v>
      </c>
      <c r="E212" s="208" t="s">
        <v>280</v>
      </c>
      <c r="F212" s="36" t="s">
        <v>14</v>
      </c>
      <c r="G212" s="207">
        <v>1402</v>
      </c>
      <c r="H212" t="str">
        <f>_xlfn.XLOOKUP(B212,[2]Sheet0!$B$2:$B$27,[2]Sheet0!$A$2:$A$27)</f>
        <v>1100</v>
      </c>
      <c r="I212" t="str">
        <f t="shared" si="3"/>
        <v>11001402</v>
      </c>
      <c r="K212" s="225" t="s">
        <v>227</v>
      </c>
    </row>
    <row r="213" spans="2:11">
      <c r="B213" s="208" t="s">
        <v>301</v>
      </c>
      <c r="C213" s="229"/>
      <c r="D213" s="212" t="s">
        <v>76</v>
      </c>
      <c r="E213" s="208" t="s">
        <v>280</v>
      </c>
      <c r="F213" s="36" t="s">
        <v>14</v>
      </c>
      <c r="G213" s="207">
        <v>1403</v>
      </c>
      <c r="H213" t="str">
        <f>_xlfn.XLOOKUP(B213,[2]Sheet0!$B$2:$B$27,[2]Sheet0!$A$2:$A$27)</f>
        <v>1100</v>
      </c>
      <c r="I213" t="str">
        <f t="shared" si="3"/>
        <v>11001403</v>
      </c>
      <c r="K213" s="225" t="s">
        <v>302</v>
      </c>
    </row>
    <row r="214" spans="2:11">
      <c r="B214" s="208" t="s">
        <v>301</v>
      </c>
      <c r="C214" s="229"/>
      <c r="D214" s="212" t="s">
        <v>78</v>
      </c>
      <c r="E214" s="208" t="s">
        <v>280</v>
      </c>
      <c r="F214" s="36" t="s">
        <v>14</v>
      </c>
      <c r="G214" s="207">
        <v>1404</v>
      </c>
      <c r="H214" t="str">
        <f>_xlfn.XLOOKUP(B214,[2]Sheet0!$B$2:$B$27,[2]Sheet0!$A$2:$A$27)</f>
        <v>1100</v>
      </c>
      <c r="I214" t="str">
        <f t="shared" si="3"/>
        <v>11001404</v>
      </c>
      <c r="K214" s="225" t="s">
        <v>250</v>
      </c>
    </row>
    <row r="215" spans="2:11">
      <c r="B215" s="208" t="s">
        <v>301</v>
      </c>
      <c r="C215" s="229"/>
      <c r="D215" s="212" t="s">
        <v>80</v>
      </c>
      <c r="E215" s="208" t="s">
        <v>280</v>
      </c>
      <c r="F215" s="36" t="s">
        <v>14</v>
      </c>
      <c r="G215" s="207">
        <v>1405</v>
      </c>
      <c r="H215" t="str">
        <f>_xlfn.XLOOKUP(B215,[2]Sheet0!$B$2:$B$27,[2]Sheet0!$A$2:$A$27)</f>
        <v>1100</v>
      </c>
      <c r="I215" t="str">
        <f t="shared" si="3"/>
        <v>11001405</v>
      </c>
      <c r="K215" s="225" t="s">
        <v>252</v>
      </c>
    </row>
    <row r="216" spans="2:11">
      <c r="B216" s="208" t="s">
        <v>301</v>
      </c>
      <c r="C216" s="229"/>
      <c r="D216" s="212" t="s">
        <v>83</v>
      </c>
      <c r="E216" s="208" t="s">
        <v>280</v>
      </c>
      <c r="F216" s="36" t="s">
        <v>14</v>
      </c>
      <c r="G216" s="207">
        <v>1406</v>
      </c>
      <c r="H216" t="str">
        <f>_xlfn.XLOOKUP(B216,[2]Sheet0!$B$2:$B$27,[2]Sheet0!$A$2:$A$27)</f>
        <v>1100</v>
      </c>
      <c r="I216" t="str">
        <f t="shared" si="3"/>
        <v>11001406</v>
      </c>
      <c r="K216" s="225" t="s">
        <v>254</v>
      </c>
    </row>
    <row r="217" spans="2:11">
      <c r="B217" s="208" t="s">
        <v>301</v>
      </c>
      <c r="C217" s="229"/>
      <c r="D217" s="212" t="s">
        <v>85</v>
      </c>
      <c r="E217" s="208" t="s">
        <v>280</v>
      </c>
      <c r="F217" s="36" t="s">
        <v>14</v>
      </c>
      <c r="G217" s="207">
        <v>1407</v>
      </c>
      <c r="H217" t="str">
        <f>_xlfn.XLOOKUP(B217,[2]Sheet0!$B$2:$B$27,[2]Sheet0!$A$2:$A$27)</f>
        <v>1100</v>
      </c>
      <c r="I217" t="str">
        <f t="shared" si="3"/>
        <v>11001407</v>
      </c>
      <c r="K217" s="225" t="s">
        <v>256</v>
      </c>
    </row>
    <row r="218" spans="2:11">
      <c r="B218" s="208" t="s">
        <v>301</v>
      </c>
      <c r="C218" s="229"/>
      <c r="D218" s="212" t="s">
        <v>87</v>
      </c>
      <c r="E218" s="208" t="s">
        <v>280</v>
      </c>
      <c r="F218" s="36" t="s">
        <v>14</v>
      </c>
      <c r="G218" s="207">
        <v>1408</v>
      </c>
      <c r="H218" t="str">
        <f>_xlfn.XLOOKUP(B218,[2]Sheet0!$B$2:$B$27,[2]Sheet0!$A$2:$A$27)</f>
        <v>1100</v>
      </c>
      <c r="I218" t="str">
        <f t="shared" si="3"/>
        <v>11001408</v>
      </c>
      <c r="K218" s="225" t="s">
        <v>258</v>
      </c>
    </row>
    <row r="219" spans="2:11">
      <c r="B219" s="208" t="s">
        <v>301</v>
      </c>
      <c r="C219" s="229"/>
      <c r="D219" s="212" t="s">
        <v>89</v>
      </c>
      <c r="E219" s="208" t="s">
        <v>280</v>
      </c>
      <c r="F219" s="36" t="s">
        <v>14</v>
      </c>
      <c r="G219" s="207">
        <v>1409</v>
      </c>
      <c r="H219" t="str">
        <f>_xlfn.XLOOKUP(B219,[2]Sheet0!$B$2:$B$27,[2]Sheet0!$A$2:$A$27)</f>
        <v>1100</v>
      </c>
      <c r="I219" t="str">
        <f t="shared" si="3"/>
        <v>11001409</v>
      </c>
      <c r="K219" s="225" t="s">
        <v>260</v>
      </c>
    </row>
    <row r="220" spans="2:11">
      <c r="B220" s="208" t="s">
        <v>301</v>
      </c>
      <c r="C220" s="229"/>
      <c r="D220" s="212" t="s">
        <v>91</v>
      </c>
      <c r="E220" s="208" t="s">
        <v>280</v>
      </c>
      <c r="F220" s="36" t="s">
        <v>14</v>
      </c>
      <c r="G220" s="207">
        <v>1410</v>
      </c>
      <c r="H220" t="str">
        <f>_xlfn.XLOOKUP(B220,[2]Sheet0!$B$2:$B$27,[2]Sheet0!$A$2:$A$27)</f>
        <v>1100</v>
      </c>
      <c r="I220" t="str">
        <f t="shared" si="3"/>
        <v>11001410</v>
      </c>
      <c r="K220" s="225" t="s">
        <v>262</v>
      </c>
    </row>
    <row r="221" spans="2:11">
      <c r="B221" s="208" t="s">
        <v>301</v>
      </c>
      <c r="C221" s="229"/>
      <c r="D221" s="212" t="s">
        <v>93</v>
      </c>
      <c r="E221" s="208" t="s">
        <v>280</v>
      </c>
      <c r="F221" s="36" t="s">
        <v>14</v>
      </c>
      <c r="G221" s="207">
        <v>1411</v>
      </c>
      <c r="H221" t="str">
        <f>_xlfn.XLOOKUP(B221,[2]Sheet0!$B$2:$B$27,[2]Sheet0!$A$2:$A$27)</f>
        <v>1100</v>
      </c>
      <c r="I221" t="str">
        <f t="shared" si="3"/>
        <v>11001411</v>
      </c>
      <c r="K221" s="225" t="s">
        <v>230</v>
      </c>
    </row>
    <row r="222" spans="2:11">
      <c r="B222" s="208" t="s">
        <v>301</v>
      </c>
      <c r="C222" s="229"/>
      <c r="D222" s="212" t="s">
        <v>95</v>
      </c>
      <c r="E222" s="208" t="s">
        <v>280</v>
      </c>
      <c r="F222" s="36" t="s">
        <v>14</v>
      </c>
      <c r="G222" s="207">
        <v>1412</v>
      </c>
      <c r="H222" t="str">
        <f>_xlfn.XLOOKUP(B222,[2]Sheet0!$B$2:$B$27,[2]Sheet0!$A$2:$A$27)</f>
        <v>1100</v>
      </c>
      <c r="I222" t="str">
        <f t="shared" si="3"/>
        <v>11001412</v>
      </c>
      <c r="K222" s="225" t="s">
        <v>233</v>
      </c>
    </row>
    <row r="223" spans="2:11">
      <c r="B223" s="208" t="s">
        <v>301</v>
      </c>
      <c r="C223" s="229"/>
      <c r="D223" s="212" t="s">
        <v>99</v>
      </c>
      <c r="E223" s="208" t="s">
        <v>280</v>
      </c>
      <c r="F223" s="36" t="s">
        <v>14</v>
      </c>
      <c r="G223" s="207">
        <v>1413</v>
      </c>
      <c r="H223" t="str">
        <f>_xlfn.XLOOKUP(B223,[2]Sheet0!$B$2:$B$27,[2]Sheet0!$A$2:$A$27)</f>
        <v>1100</v>
      </c>
      <c r="I223" t="str">
        <f t="shared" si="3"/>
        <v>11001413</v>
      </c>
      <c r="K223" s="225" t="s">
        <v>235</v>
      </c>
    </row>
    <row r="224" spans="2:11">
      <c r="B224" s="208" t="s">
        <v>301</v>
      </c>
      <c r="C224" s="229"/>
      <c r="D224" s="212" t="s">
        <v>101</v>
      </c>
      <c r="E224" s="208" t="s">
        <v>280</v>
      </c>
      <c r="F224" s="36" t="s">
        <v>14</v>
      </c>
      <c r="G224" s="207">
        <v>1414</v>
      </c>
      <c r="H224" t="str">
        <f>_xlfn.XLOOKUP(B224,[2]Sheet0!$B$2:$B$27,[2]Sheet0!$A$2:$A$27)</f>
        <v>1100</v>
      </c>
      <c r="I224" t="str">
        <f t="shared" si="3"/>
        <v>11001414</v>
      </c>
      <c r="K224" s="225" t="s">
        <v>237</v>
      </c>
    </row>
    <row r="225" spans="2:11">
      <c r="B225" s="208" t="s">
        <v>301</v>
      </c>
      <c r="C225" s="229"/>
      <c r="D225" s="212" t="s">
        <v>103</v>
      </c>
      <c r="E225" s="208" t="s">
        <v>280</v>
      </c>
      <c r="F225" s="36" t="s">
        <v>14</v>
      </c>
      <c r="G225" s="207">
        <v>1415</v>
      </c>
      <c r="H225" t="str">
        <f>_xlfn.XLOOKUP(B225,[2]Sheet0!$B$2:$B$27,[2]Sheet0!$A$2:$A$27)</f>
        <v>1100</v>
      </c>
      <c r="I225" t="str">
        <f t="shared" si="3"/>
        <v>11001415</v>
      </c>
      <c r="K225" s="225" t="s">
        <v>239</v>
      </c>
    </row>
    <row r="226" spans="2:11">
      <c r="B226" s="208" t="s">
        <v>301</v>
      </c>
      <c r="C226" s="229"/>
      <c r="D226" s="212" t="s">
        <v>105</v>
      </c>
      <c r="E226" s="208" t="s">
        <v>280</v>
      </c>
      <c r="F226" s="36" t="s">
        <v>14</v>
      </c>
      <c r="G226" s="207">
        <v>1416</v>
      </c>
      <c r="H226" t="str">
        <f>_xlfn.XLOOKUP(B226,[2]Sheet0!$B$2:$B$27,[2]Sheet0!$A$2:$A$27)</f>
        <v>1100</v>
      </c>
      <c r="I226" t="str">
        <f t="shared" si="3"/>
        <v>11001416</v>
      </c>
      <c r="K226" s="225" t="s">
        <v>241</v>
      </c>
    </row>
    <row r="227" spans="2:11">
      <c r="B227" s="208" t="s">
        <v>303</v>
      </c>
      <c r="C227" s="229"/>
      <c r="D227" s="212" t="s">
        <v>228</v>
      </c>
      <c r="E227" s="208" t="s">
        <v>280</v>
      </c>
      <c r="F227" s="36" t="s">
        <v>14</v>
      </c>
      <c r="G227" s="207">
        <v>2801</v>
      </c>
      <c r="H227" t="str">
        <f>_xlfn.XLOOKUP(B227,[2]Sheet0!$B$2:$B$27,[2]Sheet0!$A$2:$A$27)</f>
        <v>1085</v>
      </c>
      <c r="I227" t="str">
        <f t="shared" si="3"/>
        <v>10852801</v>
      </c>
      <c r="K227" s="225" t="s">
        <v>243</v>
      </c>
    </row>
    <row r="228" spans="2:11">
      <c r="B228" s="208" t="s">
        <v>303</v>
      </c>
      <c r="C228" s="229"/>
      <c r="D228" s="212" t="s">
        <v>232</v>
      </c>
      <c r="E228" s="208" t="s">
        <v>280</v>
      </c>
      <c r="F228" s="36" t="s">
        <v>14</v>
      </c>
      <c r="G228" s="207">
        <v>2802</v>
      </c>
      <c r="H228" t="str">
        <f>_xlfn.XLOOKUP(B228,[2]Sheet0!$B$2:$B$27,[2]Sheet0!$A$2:$A$27)</f>
        <v>1085</v>
      </c>
      <c r="I228" t="str">
        <f t="shared" si="3"/>
        <v>10852802</v>
      </c>
      <c r="K228" s="225" t="s">
        <v>245</v>
      </c>
    </row>
    <row r="229" spans="2:11">
      <c r="B229" s="208" t="s">
        <v>303</v>
      </c>
      <c r="C229" s="229"/>
      <c r="D229" s="212" t="s">
        <v>234</v>
      </c>
      <c r="E229" s="208" t="s">
        <v>280</v>
      </c>
      <c r="F229" s="36" t="s">
        <v>14</v>
      </c>
      <c r="G229" s="207">
        <v>2803</v>
      </c>
      <c r="H229" t="str">
        <f>_xlfn.XLOOKUP(B229,[2]Sheet0!$B$2:$B$27,[2]Sheet0!$A$2:$A$27)</f>
        <v>1085</v>
      </c>
      <c r="I229" t="str">
        <f t="shared" si="3"/>
        <v>10852803</v>
      </c>
      <c r="K229" s="225" t="s">
        <v>247</v>
      </c>
    </row>
    <row r="230" spans="2:11">
      <c r="B230" s="208" t="s">
        <v>303</v>
      </c>
      <c r="C230" s="229"/>
      <c r="D230" s="212" t="s">
        <v>236</v>
      </c>
      <c r="E230" s="208" t="s">
        <v>280</v>
      </c>
      <c r="F230" s="36" t="s">
        <v>14</v>
      </c>
      <c r="G230" s="207">
        <v>2804</v>
      </c>
      <c r="H230" t="str">
        <f>_xlfn.XLOOKUP(B230,[2]Sheet0!$B$2:$B$27,[2]Sheet0!$A$2:$A$27)</f>
        <v>1085</v>
      </c>
      <c r="I230" t="str">
        <f t="shared" si="3"/>
        <v>10852804</v>
      </c>
      <c r="K230" s="225" t="s">
        <v>265</v>
      </c>
    </row>
    <row r="231" spans="2:11">
      <c r="B231" s="208" t="s">
        <v>303</v>
      </c>
      <c r="C231" s="229"/>
      <c r="D231" s="212" t="s">
        <v>238</v>
      </c>
      <c r="E231" s="208" t="s">
        <v>280</v>
      </c>
      <c r="F231" s="36" t="s">
        <v>14</v>
      </c>
      <c r="G231" s="207">
        <v>2805</v>
      </c>
      <c r="H231" t="str">
        <f>_xlfn.XLOOKUP(B231,[2]Sheet0!$B$2:$B$27,[2]Sheet0!$A$2:$A$27)</f>
        <v>1085</v>
      </c>
      <c r="I231" t="str">
        <f t="shared" si="3"/>
        <v>10852805</v>
      </c>
      <c r="K231" s="225" t="s">
        <v>267</v>
      </c>
    </row>
    <row r="232" spans="2:11">
      <c r="B232" s="208" t="s">
        <v>303</v>
      </c>
      <c r="C232" s="229"/>
      <c r="D232" s="212" t="s">
        <v>240</v>
      </c>
      <c r="E232" s="208" t="s">
        <v>280</v>
      </c>
      <c r="F232" s="36" t="s">
        <v>14</v>
      </c>
      <c r="G232" s="207">
        <v>2806</v>
      </c>
      <c r="H232" t="str">
        <f>_xlfn.XLOOKUP(B232,[2]Sheet0!$B$2:$B$27,[2]Sheet0!$A$2:$A$27)</f>
        <v>1085</v>
      </c>
      <c r="I232" t="str">
        <f t="shared" si="3"/>
        <v>10852806</v>
      </c>
      <c r="K232" s="225" t="s">
        <v>269</v>
      </c>
    </row>
    <row r="233" spans="2:11">
      <c r="B233" s="208" t="s">
        <v>303</v>
      </c>
      <c r="C233" s="229"/>
      <c r="D233" s="212" t="s">
        <v>242</v>
      </c>
      <c r="E233" s="208" t="s">
        <v>280</v>
      </c>
      <c r="F233" s="36" t="s">
        <v>14</v>
      </c>
      <c r="G233" s="207">
        <v>2807</v>
      </c>
      <c r="H233" t="str">
        <f>_xlfn.XLOOKUP(B233,[2]Sheet0!$B$2:$B$27,[2]Sheet0!$A$2:$A$27)</f>
        <v>1085</v>
      </c>
      <c r="I233" t="str">
        <f t="shared" si="3"/>
        <v>10852807</v>
      </c>
      <c r="K233" s="225" t="s">
        <v>271</v>
      </c>
    </row>
    <row r="234" spans="2:11">
      <c r="B234" s="208" t="s">
        <v>303</v>
      </c>
      <c r="C234" s="229"/>
      <c r="D234" s="212" t="s">
        <v>244</v>
      </c>
      <c r="E234" s="208" t="s">
        <v>280</v>
      </c>
      <c r="F234" s="36" t="s">
        <v>14</v>
      </c>
      <c r="G234" s="207">
        <v>2808</v>
      </c>
      <c r="H234" t="str">
        <f>_xlfn.XLOOKUP(B234,[2]Sheet0!$B$2:$B$27,[2]Sheet0!$A$2:$A$27)</f>
        <v>1085</v>
      </c>
      <c r="I234" t="str">
        <f t="shared" si="3"/>
        <v>10852808</v>
      </c>
      <c r="K234" s="225" t="s">
        <v>273</v>
      </c>
    </row>
    <row r="235" spans="2:11">
      <c r="B235" s="208" t="s">
        <v>303</v>
      </c>
      <c r="C235" s="229"/>
      <c r="D235" s="212" t="s">
        <v>246</v>
      </c>
      <c r="E235" s="208" t="s">
        <v>280</v>
      </c>
      <c r="F235" s="36" t="s">
        <v>14</v>
      </c>
      <c r="G235" s="207">
        <v>2809</v>
      </c>
      <c r="H235" t="str">
        <f>_xlfn.XLOOKUP(B235,[2]Sheet0!$B$2:$B$27,[2]Sheet0!$A$2:$A$27)</f>
        <v>1085</v>
      </c>
      <c r="I235" t="str">
        <f t="shared" si="3"/>
        <v>10852809</v>
      </c>
      <c r="K235" s="225" t="s">
        <v>275</v>
      </c>
    </row>
    <row r="236" spans="2:11">
      <c r="B236" s="208" t="s">
        <v>303</v>
      </c>
      <c r="C236" s="229"/>
      <c r="D236" s="212" t="s">
        <v>248</v>
      </c>
      <c r="E236" s="208" t="s">
        <v>280</v>
      </c>
      <c r="F236" s="36" t="s">
        <v>14</v>
      </c>
      <c r="G236" s="207">
        <v>2810</v>
      </c>
      <c r="H236" t="str">
        <f>_xlfn.XLOOKUP(B236,[2]Sheet0!$B$2:$B$27,[2]Sheet0!$A$2:$A$27)</f>
        <v>1085</v>
      </c>
      <c r="I236" t="str">
        <f t="shared" si="3"/>
        <v>10852810</v>
      </c>
      <c r="K236" s="225" t="s">
        <v>277</v>
      </c>
    </row>
    <row r="237" spans="2:11">
      <c r="B237" s="208" t="s">
        <v>303</v>
      </c>
      <c r="C237" s="229"/>
      <c r="D237" s="212" t="s">
        <v>251</v>
      </c>
      <c r="E237" s="208" t="s">
        <v>280</v>
      </c>
      <c r="F237" s="36" t="s">
        <v>14</v>
      </c>
      <c r="G237" s="207">
        <v>2811</v>
      </c>
      <c r="H237" t="str">
        <f>_xlfn.XLOOKUP(B237,[2]Sheet0!$B$2:$B$27,[2]Sheet0!$A$2:$A$27)</f>
        <v>1085</v>
      </c>
      <c r="I237" t="str">
        <f t="shared" si="3"/>
        <v>10852811</v>
      </c>
      <c r="K237" s="225" t="s">
        <v>284</v>
      </c>
    </row>
    <row r="238" spans="2:11">
      <c r="B238" s="208" t="s">
        <v>303</v>
      </c>
      <c r="C238" s="229"/>
      <c r="D238" s="212" t="s">
        <v>253</v>
      </c>
      <c r="E238" s="208" t="s">
        <v>280</v>
      </c>
      <c r="F238" s="36" t="s">
        <v>14</v>
      </c>
      <c r="G238" s="207">
        <v>2812</v>
      </c>
      <c r="H238" t="str">
        <f>_xlfn.XLOOKUP(B238,[2]Sheet0!$B$2:$B$27,[2]Sheet0!$A$2:$A$27)</f>
        <v>1085</v>
      </c>
      <c r="I238" t="str">
        <f t="shared" si="3"/>
        <v>10852812</v>
      </c>
      <c r="K238" s="225" t="s">
        <v>285</v>
      </c>
    </row>
    <row r="239" spans="2:11">
      <c r="B239" s="208" t="s">
        <v>303</v>
      </c>
      <c r="C239" s="229"/>
      <c r="D239" s="212" t="s">
        <v>255</v>
      </c>
      <c r="E239" s="208" t="s">
        <v>280</v>
      </c>
      <c r="F239" s="36" t="s">
        <v>14</v>
      </c>
      <c r="G239" s="207">
        <v>2813</v>
      </c>
      <c r="H239" t="str">
        <f>_xlfn.XLOOKUP(B239,[2]Sheet0!$B$2:$B$27,[2]Sheet0!$A$2:$A$27)</f>
        <v>1085</v>
      </c>
      <c r="I239" t="str">
        <f t="shared" si="3"/>
        <v>10852813</v>
      </c>
      <c r="K239" s="225" t="s">
        <v>286</v>
      </c>
    </row>
    <row r="240" spans="2:11">
      <c r="B240" s="208" t="s">
        <v>303</v>
      </c>
      <c r="C240" s="229"/>
      <c r="D240" s="212" t="s">
        <v>257</v>
      </c>
      <c r="E240" s="208" t="s">
        <v>280</v>
      </c>
      <c r="F240" s="36" t="s">
        <v>14</v>
      </c>
      <c r="G240" s="207">
        <v>2814</v>
      </c>
      <c r="H240" t="str">
        <f>_xlfn.XLOOKUP(B240,[2]Sheet0!$B$2:$B$27,[2]Sheet0!$A$2:$A$27)</f>
        <v>1085</v>
      </c>
      <c r="I240" t="str">
        <f t="shared" si="3"/>
        <v>10852814</v>
      </c>
      <c r="K240" s="225" t="s">
        <v>287</v>
      </c>
    </row>
    <row r="241" spans="2:11">
      <c r="B241" s="208" t="s">
        <v>303</v>
      </c>
      <c r="C241" s="229"/>
      <c r="D241" s="212" t="s">
        <v>259</v>
      </c>
      <c r="E241" s="208" t="s">
        <v>280</v>
      </c>
      <c r="F241" s="36" t="s">
        <v>14</v>
      </c>
      <c r="G241" s="207">
        <v>2815</v>
      </c>
      <c r="H241" t="str">
        <f>_xlfn.XLOOKUP(B241,[2]Sheet0!$B$2:$B$27,[2]Sheet0!$A$2:$A$27)</f>
        <v>1085</v>
      </c>
      <c r="I241" t="str">
        <f t="shared" si="3"/>
        <v>10852815</v>
      </c>
      <c r="K241" s="225" t="s">
        <v>288</v>
      </c>
    </row>
    <row r="242" spans="2:11">
      <c r="B242" s="208" t="s">
        <v>303</v>
      </c>
      <c r="C242" s="229"/>
      <c r="D242" s="212" t="s">
        <v>261</v>
      </c>
      <c r="E242" s="208" t="s">
        <v>280</v>
      </c>
      <c r="F242" s="36" t="s">
        <v>14</v>
      </c>
      <c r="G242" s="207">
        <v>2816</v>
      </c>
      <c r="H242" t="str">
        <f>_xlfn.XLOOKUP(B242,[2]Sheet0!$B$2:$B$27,[2]Sheet0!$A$2:$A$27)</f>
        <v>1085</v>
      </c>
      <c r="I242" t="str">
        <f t="shared" si="3"/>
        <v>10852816</v>
      </c>
      <c r="K242" s="225" t="s">
        <v>289</v>
      </c>
    </row>
    <row r="243" spans="2:11">
      <c r="B243" s="208" t="s">
        <v>303</v>
      </c>
      <c r="C243" s="229"/>
      <c r="D243" s="212" t="s">
        <v>263</v>
      </c>
      <c r="E243" s="208" t="s">
        <v>280</v>
      </c>
      <c r="F243" s="36" t="s">
        <v>14</v>
      </c>
      <c r="G243" s="207">
        <v>2817</v>
      </c>
      <c r="H243" t="str">
        <f>_xlfn.XLOOKUP(B243,[2]Sheet0!$B$2:$B$27,[2]Sheet0!$A$2:$A$27)</f>
        <v>1085</v>
      </c>
      <c r="I243" t="str">
        <f t="shared" si="3"/>
        <v>10852817</v>
      </c>
      <c r="K243" s="225" t="s">
        <v>291</v>
      </c>
    </row>
    <row r="244" spans="2:11">
      <c r="B244" s="208" t="s">
        <v>303</v>
      </c>
      <c r="C244" s="229"/>
      <c r="D244" s="212" t="s">
        <v>266</v>
      </c>
      <c r="E244" s="208" t="s">
        <v>280</v>
      </c>
      <c r="F244" s="36" t="s">
        <v>14</v>
      </c>
      <c r="G244" s="207">
        <v>2818</v>
      </c>
      <c r="H244" t="str">
        <f>_xlfn.XLOOKUP(B244,[2]Sheet0!$B$2:$B$27,[2]Sheet0!$A$2:$A$27)</f>
        <v>1085</v>
      </c>
      <c r="I244" t="str">
        <f t="shared" si="3"/>
        <v>10852818</v>
      </c>
      <c r="K244" s="225" t="s">
        <v>292</v>
      </c>
    </row>
    <row r="245" spans="2:11">
      <c r="B245" s="208" t="s">
        <v>303</v>
      </c>
      <c r="C245" s="229"/>
      <c r="D245" s="212" t="s">
        <v>268</v>
      </c>
      <c r="E245" s="208" t="s">
        <v>280</v>
      </c>
      <c r="F245" s="36" t="s">
        <v>14</v>
      </c>
      <c r="G245" s="207">
        <v>2819</v>
      </c>
      <c r="H245" t="str">
        <f>_xlfn.XLOOKUP(B245,[2]Sheet0!$B$2:$B$27,[2]Sheet0!$A$2:$A$27)</f>
        <v>1085</v>
      </c>
      <c r="I245" t="str">
        <f t="shared" si="3"/>
        <v>10852819</v>
      </c>
      <c r="K245" s="225" t="s">
        <v>293</v>
      </c>
    </row>
    <row r="246" spans="2:11">
      <c r="B246" s="208" t="s">
        <v>303</v>
      </c>
      <c r="C246" s="229"/>
      <c r="D246" s="212" t="s">
        <v>270</v>
      </c>
      <c r="E246" s="208" t="s">
        <v>280</v>
      </c>
      <c r="F246" s="36" t="s">
        <v>14</v>
      </c>
      <c r="G246" s="207">
        <v>2820</v>
      </c>
      <c r="H246" t="str">
        <f>_xlfn.XLOOKUP(B246,[2]Sheet0!$B$2:$B$27,[2]Sheet0!$A$2:$A$27)</f>
        <v>1085</v>
      </c>
      <c r="I246" t="str">
        <f t="shared" si="3"/>
        <v>10852820</v>
      </c>
      <c r="K246" s="225" t="s">
        <v>294</v>
      </c>
    </row>
    <row r="247" spans="2:11">
      <c r="B247" s="208" t="s">
        <v>303</v>
      </c>
      <c r="C247" s="229"/>
      <c r="D247" s="212" t="s">
        <v>272</v>
      </c>
      <c r="E247" s="208" t="s">
        <v>280</v>
      </c>
      <c r="F247" s="36" t="s">
        <v>14</v>
      </c>
      <c r="G247" s="207">
        <v>2821</v>
      </c>
      <c r="H247" t="str">
        <f>_xlfn.XLOOKUP(B247,[2]Sheet0!$B$2:$B$27,[2]Sheet0!$A$2:$A$27)</f>
        <v>1085</v>
      </c>
      <c r="I247" t="str">
        <f t="shared" si="3"/>
        <v>10852821</v>
      </c>
      <c r="K247" s="225" t="s">
        <v>295</v>
      </c>
    </row>
    <row r="248" spans="2:11">
      <c r="B248" s="208" t="s">
        <v>303</v>
      </c>
      <c r="C248" s="229"/>
      <c r="D248" s="212" t="s">
        <v>274</v>
      </c>
      <c r="E248" s="208" t="s">
        <v>280</v>
      </c>
      <c r="F248" s="36" t="s">
        <v>14</v>
      </c>
      <c r="G248" s="207">
        <v>2822</v>
      </c>
      <c r="H248" t="str">
        <f>_xlfn.XLOOKUP(B248,[2]Sheet0!$B$2:$B$27,[2]Sheet0!$A$2:$A$27)</f>
        <v>1085</v>
      </c>
      <c r="I248" t="str">
        <f t="shared" si="3"/>
        <v>10852822</v>
      </c>
      <c r="K248" s="225" t="s">
        <v>296</v>
      </c>
    </row>
    <row r="249" spans="2:11">
      <c r="B249" s="208" t="s">
        <v>303</v>
      </c>
      <c r="C249" s="229"/>
      <c r="D249" s="212" t="s">
        <v>276</v>
      </c>
      <c r="E249" s="208" t="s">
        <v>280</v>
      </c>
      <c r="F249" s="36" t="s">
        <v>14</v>
      </c>
      <c r="G249" s="207">
        <v>2823</v>
      </c>
      <c r="H249" t="str">
        <f>_xlfn.XLOOKUP(B249,[2]Sheet0!$B$2:$B$27,[2]Sheet0!$A$2:$A$27)</f>
        <v>1085</v>
      </c>
      <c r="I249" t="str">
        <f t="shared" si="3"/>
        <v>10852823</v>
      </c>
      <c r="K249" s="225" t="s">
        <v>297</v>
      </c>
    </row>
    <row r="250" spans="2:11">
      <c r="B250" s="208" t="s">
        <v>303</v>
      </c>
      <c r="C250" s="229"/>
      <c r="D250" s="212" t="s">
        <v>278</v>
      </c>
      <c r="E250" s="208" t="s">
        <v>280</v>
      </c>
      <c r="F250" s="36" t="s">
        <v>14</v>
      </c>
      <c r="G250" s="207">
        <v>2824</v>
      </c>
      <c r="H250" t="str">
        <f>_xlfn.XLOOKUP(B250,[2]Sheet0!$B$2:$B$27,[2]Sheet0!$A$2:$A$27)</f>
        <v>1085</v>
      </c>
      <c r="I250" t="str">
        <f t="shared" si="3"/>
        <v>10852824</v>
      </c>
      <c r="K250" s="225" t="s">
        <v>298</v>
      </c>
    </row>
    <row r="251" spans="2:11">
      <c r="B251" s="208" t="s">
        <v>303</v>
      </c>
      <c r="C251" s="229"/>
      <c r="D251" s="212" t="s">
        <v>281</v>
      </c>
      <c r="E251" s="208" t="s">
        <v>280</v>
      </c>
      <c r="F251" s="36" t="s">
        <v>14</v>
      </c>
      <c r="G251" s="37">
        <v>2825</v>
      </c>
      <c r="H251" t="str">
        <f>_xlfn.XLOOKUP(B251,[2]Sheet0!$B$2:$B$27,[2]Sheet0!$A$2:$A$27)</f>
        <v>1085</v>
      </c>
      <c r="I251" t="str">
        <f t="shared" si="3"/>
        <v>10852825</v>
      </c>
      <c r="K251" s="225" t="s">
        <v>299</v>
      </c>
    </row>
    <row r="252" spans="2:11">
      <c r="B252" s="208" t="s">
        <v>304</v>
      </c>
      <c r="C252" s="229"/>
      <c r="D252" s="212" t="s">
        <v>302</v>
      </c>
      <c r="E252" s="208" t="s">
        <v>280</v>
      </c>
      <c r="F252" s="36" t="s">
        <v>14</v>
      </c>
      <c r="G252" s="22">
        <v>3001</v>
      </c>
      <c r="H252" t="str">
        <f>_xlfn.XLOOKUP(B252,[2]Sheet0!$B$2:$B$27,[2]Sheet0!$A$2:$A$27)</f>
        <v>1090</v>
      </c>
      <c r="I252" t="str">
        <f t="shared" si="3"/>
        <v>10903001</v>
      </c>
      <c r="K252" s="225" t="s">
        <v>300</v>
      </c>
    </row>
    <row r="253" spans="2:11">
      <c r="G253" s="230"/>
    </row>
    <row r="254" spans="2:11">
      <c r="G254" s="230"/>
    </row>
    <row r="255" spans="2:11">
      <c r="G255" s="230"/>
    </row>
    <row r="256" spans="2:11">
      <c r="G256" s="230"/>
    </row>
    <row r="257" spans="7:7">
      <c r="G257" s="230"/>
    </row>
    <row r="258" spans="7:7">
      <c r="G258" s="230"/>
    </row>
    <row r="259" spans="7:7">
      <c r="G259" s="230"/>
    </row>
    <row r="260" spans="7:7">
      <c r="G260" s="230"/>
    </row>
    <row r="261" spans="7:7">
      <c r="G261" s="230"/>
    </row>
    <row r="262" spans="7:7">
      <c r="G262" s="230"/>
    </row>
    <row r="263" spans="7:7">
      <c r="G263" s="230"/>
    </row>
    <row r="264" spans="7:7">
      <c r="G264" s="230"/>
    </row>
    <row r="265" spans="7:7">
      <c r="G265" s="230"/>
    </row>
    <row r="266" spans="7:7">
      <c r="G266" s="230"/>
    </row>
    <row r="267" spans="7:7">
      <c r="G267" s="230"/>
    </row>
    <row r="268" spans="7:7">
      <c r="G268" s="230"/>
    </row>
    <row r="269" spans="7:7">
      <c r="G269" s="230"/>
    </row>
    <row r="270" spans="7:7">
      <c r="G270" s="230"/>
    </row>
    <row r="271" spans="7:7">
      <c r="G271" s="230"/>
    </row>
    <row r="272" spans="7:7">
      <c r="G272" s="230"/>
    </row>
    <row r="273" spans="7:7">
      <c r="G273" s="230"/>
    </row>
    <row r="274" spans="7:7">
      <c r="G274" s="230"/>
    </row>
    <row r="275" spans="7:7">
      <c r="G275" s="230"/>
    </row>
    <row r="276" spans="7:7">
      <c r="G276" s="230"/>
    </row>
    <row r="277" spans="7:7">
      <c r="G277" s="230"/>
    </row>
    <row r="278" spans="7:7">
      <c r="G278" s="231"/>
    </row>
    <row r="279" spans="7:7">
      <c r="G279" s="231"/>
    </row>
    <row r="280" spans="7:7">
      <c r="G280" s="231"/>
    </row>
    <row r="281" spans="7:7">
      <c r="G281" s="231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G277" etc:filterBottomFollowUsedRange="0">
    <extLst/>
  </autoFilter>
  <conditionalFormatting sqref="K2:K252 D2:D252">
    <cfRule type="duplicateValues" dxfId="0" priority="1"/>
  </conditionalFormatting>
  <dataValidations count="1">
    <dataValidation type="textLength" operator="lessThanOrEqual" allowBlank="1" showInputMessage="1" showErrorMessage="1" errorTitle="提示" error="此处最多只能输入 20 个字符。" sqref="E222:E224 D220:E221">
      <formula1>20</formula1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45"/>
  <sheetViews>
    <sheetView tabSelected="1" zoomScale="130" zoomScaleNormal="130" topLeftCell="N323" workbookViewId="0">
      <selection activeCell="C178" sqref="C178:D179"/>
    </sheetView>
  </sheetViews>
  <sheetFormatPr defaultColWidth="8.89166666666667" defaultRowHeight="13.5"/>
  <cols>
    <col min="1" max="1" width="6.44166666666667" customWidth="1"/>
    <col min="2" max="2" width="12.825" customWidth="1"/>
    <col min="3" max="3" width="20.5" style="203" customWidth="1"/>
    <col min="4" max="4" width="12.6666666666667" customWidth="1"/>
    <col min="5" max="6" width="6.325" style="203" customWidth="1"/>
    <col min="7" max="7" width="35.5" style="203" customWidth="1"/>
    <col min="8" max="35" width="6.325" style="203" customWidth="1"/>
  </cols>
  <sheetData>
    <row r="1" spans="1:36">
      <c r="A1" t="s">
        <v>305</v>
      </c>
      <c r="C1" s="204" t="s">
        <v>306</v>
      </c>
    </row>
    <row r="2" spans="1:36">
      <c r="A2" s="205" t="s">
        <v>0</v>
      </c>
      <c r="B2" s="205" t="s">
        <v>1</v>
      </c>
      <c r="C2" s="205" t="s">
        <v>3</v>
      </c>
      <c r="D2" s="206" t="s">
        <v>307</v>
      </c>
      <c r="E2" s="207">
        <v>1</v>
      </c>
      <c r="F2" s="207">
        <v>2</v>
      </c>
      <c r="G2" s="207">
        <v>3</v>
      </c>
      <c r="H2" s="207">
        <v>4</v>
      </c>
      <c r="I2" s="207">
        <v>5</v>
      </c>
      <c r="J2" s="207">
        <v>6</v>
      </c>
      <c r="K2" s="207">
        <v>7</v>
      </c>
      <c r="L2" s="207">
        <v>8</v>
      </c>
      <c r="M2" s="207">
        <v>9</v>
      </c>
      <c r="N2" s="207">
        <v>10</v>
      </c>
      <c r="O2" s="207">
        <v>11</v>
      </c>
      <c r="P2" s="207">
        <v>12</v>
      </c>
      <c r="Q2" s="207">
        <v>13</v>
      </c>
      <c r="R2" s="207">
        <v>14</v>
      </c>
      <c r="S2" s="207">
        <v>15</v>
      </c>
      <c r="T2" s="207">
        <v>16</v>
      </c>
      <c r="U2" s="207">
        <v>17</v>
      </c>
      <c r="V2" s="207">
        <v>18</v>
      </c>
      <c r="W2" s="207">
        <v>19</v>
      </c>
      <c r="X2" s="207">
        <v>20</v>
      </c>
      <c r="Y2" s="207">
        <v>21</v>
      </c>
      <c r="Z2" s="207">
        <v>22</v>
      </c>
      <c r="AA2" s="207">
        <v>23</v>
      </c>
      <c r="AB2" s="207">
        <v>24</v>
      </c>
      <c r="AC2" s="207">
        <v>25</v>
      </c>
      <c r="AD2" s="207">
        <v>26</v>
      </c>
      <c r="AE2" s="207">
        <v>27</v>
      </c>
      <c r="AF2" s="207">
        <v>28</v>
      </c>
      <c r="AG2" s="207">
        <v>29</v>
      </c>
      <c r="AH2" s="207">
        <v>30</v>
      </c>
      <c r="AI2" s="207">
        <v>31</v>
      </c>
      <c r="AJ2" s="172" t="s">
        <v>308</v>
      </c>
    </row>
    <row r="3" spans="1:36">
      <c r="A3" s="207">
        <v>1</v>
      </c>
      <c r="B3" s="208" t="s">
        <v>9</v>
      </c>
      <c r="C3" s="209" t="s">
        <v>10</v>
      </c>
      <c r="D3" s="210" t="s">
        <v>11</v>
      </c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7"/>
      <c r="AH3" s="207"/>
      <c r="AI3" s="207"/>
      <c r="AJ3" s="172"/>
    </row>
    <row r="4" spans="1:36">
      <c r="A4" s="207">
        <v>2</v>
      </c>
      <c r="B4" s="208" t="s">
        <v>9</v>
      </c>
      <c r="C4" s="209" t="s">
        <v>13</v>
      </c>
      <c r="D4" s="210" t="s">
        <v>11</v>
      </c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172"/>
    </row>
    <row r="5" spans="1:36">
      <c r="A5" s="207">
        <v>3</v>
      </c>
      <c r="B5" s="208" t="s">
        <v>9</v>
      </c>
      <c r="C5" s="209" t="s">
        <v>15</v>
      </c>
      <c r="D5" s="210" t="s">
        <v>11</v>
      </c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172"/>
    </row>
    <row r="6" spans="1:36">
      <c r="A6" s="207">
        <v>4</v>
      </c>
      <c r="B6" s="208" t="s">
        <v>9</v>
      </c>
      <c r="C6" s="211" t="s">
        <v>16</v>
      </c>
      <c r="D6" s="36" t="s">
        <v>17</v>
      </c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7"/>
      <c r="AE6" s="207"/>
      <c r="AF6" s="207"/>
      <c r="AG6" s="207"/>
      <c r="AH6" s="207"/>
      <c r="AI6" s="207"/>
      <c r="AJ6" s="172"/>
    </row>
    <row r="7" spans="1:36">
      <c r="A7" s="207">
        <v>5</v>
      </c>
      <c r="B7" s="208" t="s">
        <v>9</v>
      </c>
      <c r="C7" s="209" t="s">
        <v>18</v>
      </c>
      <c r="D7" s="36" t="s">
        <v>11</v>
      </c>
      <c r="E7" s="207"/>
      <c r="F7" s="207"/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7"/>
      <c r="AD7" s="207"/>
      <c r="AE7" s="207"/>
      <c r="AF7" s="207"/>
      <c r="AG7" s="207"/>
      <c r="AH7" s="207"/>
      <c r="AI7" s="207"/>
      <c r="AJ7" s="172"/>
    </row>
    <row r="8" spans="1:36">
      <c r="A8" s="207">
        <v>6</v>
      </c>
      <c r="B8" s="208" t="s">
        <v>9</v>
      </c>
      <c r="C8" s="209" t="s">
        <v>19</v>
      </c>
      <c r="D8" s="36" t="s">
        <v>11</v>
      </c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172"/>
    </row>
    <row r="9" spans="1:36">
      <c r="A9" s="207">
        <v>7</v>
      </c>
      <c r="B9" s="208" t="s">
        <v>9</v>
      </c>
      <c r="C9" s="209" t="s">
        <v>20</v>
      </c>
      <c r="D9" s="36" t="s">
        <v>11</v>
      </c>
      <c r="E9" s="207"/>
      <c r="F9" s="207"/>
      <c r="G9" s="207"/>
      <c r="H9" s="207"/>
      <c r="I9" s="207"/>
      <c r="J9" s="207"/>
      <c r="K9" s="207"/>
      <c r="L9" s="207"/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  <c r="AA9" s="207"/>
      <c r="AB9" s="207"/>
      <c r="AC9" s="207"/>
      <c r="AD9" s="207"/>
      <c r="AE9" s="207"/>
      <c r="AF9" s="207"/>
      <c r="AG9" s="207"/>
      <c r="AH9" s="207"/>
      <c r="AI9" s="207"/>
      <c r="AJ9" s="172"/>
    </row>
    <row r="10" spans="1:36">
      <c r="A10" s="207">
        <v>8</v>
      </c>
      <c r="B10" s="208" t="s">
        <v>9</v>
      </c>
      <c r="C10" s="209" t="s">
        <v>21</v>
      </c>
      <c r="D10" s="36" t="s">
        <v>11</v>
      </c>
      <c r="E10" s="207"/>
      <c r="F10" s="207"/>
      <c r="G10" s="207"/>
      <c r="H10" s="207"/>
      <c r="I10" s="207"/>
      <c r="J10" s="207"/>
      <c r="K10" s="207"/>
      <c r="L10" s="207"/>
      <c r="M10" s="207"/>
      <c r="N10" s="207"/>
      <c r="O10" s="207"/>
      <c r="P10" s="207"/>
      <c r="Q10" s="207"/>
      <c r="R10" s="207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07"/>
      <c r="AH10" s="207"/>
      <c r="AI10" s="207"/>
      <c r="AJ10" s="172"/>
    </row>
    <row r="11" spans="1:36">
      <c r="A11" s="207">
        <v>9</v>
      </c>
      <c r="B11" s="208" t="s">
        <v>9</v>
      </c>
      <c r="C11" s="209" t="s">
        <v>22</v>
      </c>
      <c r="D11" s="36" t="s">
        <v>11</v>
      </c>
      <c r="E11" s="207"/>
      <c r="F11" s="207"/>
      <c r="G11" s="207"/>
      <c r="H11" s="207"/>
      <c r="I11" s="207"/>
      <c r="J11" s="207"/>
      <c r="K11" s="207"/>
      <c r="L11" s="207"/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  <c r="X11" s="207"/>
      <c r="Y11" s="207"/>
      <c r="Z11" s="207"/>
      <c r="AA11" s="207"/>
      <c r="AB11" s="207"/>
      <c r="AC11" s="207"/>
      <c r="AD11" s="207"/>
      <c r="AE11" s="207"/>
      <c r="AF11" s="207"/>
      <c r="AG11" s="207"/>
      <c r="AH11" s="207"/>
      <c r="AI11" s="207"/>
      <c r="AJ11" s="172"/>
    </row>
    <row r="12" spans="1:36">
      <c r="A12" s="207">
        <v>10</v>
      </c>
      <c r="B12" s="208" t="s">
        <v>9</v>
      </c>
      <c r="C12" s="209" t="s">
        <v>23</v>
      </c>
      <c r="D12" s="36" t="s">
        <v>11</v>
      </c>
      <c r="E12" s="207"/>
      <c r="F12" s="207"/>
      <c r="G12" s="207"/>
      <c r="H12" s="207"/>
      <c r="I12" s="207"/>
      <c r="J12" s="207"/>
      <c r="K12" s="207"/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207"/>
      <c r="AD12" s="207"/>
      <c r="AE12" s="207"/>
      <c r="AF12" s="207"/>
      <c r="AG12" s="207"/>
      <c r="AH12" s="207"/>
      <c r="AI12" s="207"/>
      <c r="AJ12" s="172"/>
    </row>
    <row r="13" spans="1:36">
      <c r="A13" s="207">
        <v>11</v>
      </c>
      <c r="B13" s="208" t="s">
        <v>9</v>
      </c>
      <c r="C13" s="209" t="s">
        <v>24</v>
      </c>
      <c r="D13" s="36" t="s">
        <v>11</v>
      </c>
      <c r="E13" s="207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172"/>
    </row>
    <row r="14" spans="1:36">
      <c r="A14" s="207">
        <v>12</v>
      </c>
      <c r="B14" s="208" t="s">
        <v>25</v>
      </c>
      <c r="C14" s="209" t="s">
        <v>26</v>
      </c>
      <c r="D14" s="36" t="s">
        <v>27</v>
      </c>
      <c r="E14" s="207"/>
      <c r="F14" s="207"/>
      <c r="G14" s="207"/>
      <c r="H14" s="207"/>
      <c r="I14" s="207"/>
      <c r="J14" s="207"/>
      <c r="K14" s="207"/>
      <c r="L14" s="207"/>
      <c r="M14" s="207"/>
      <c r="N14" s="207"/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7"/>
      <c r="AB14" s="207"/>
      <c r="AC14" s="207"/>
      <c r="AD14" s="207"/>
      <c r="AE14" s="207"/>
      <c r="AF14" s="207"/>
      <c r="AG14" s="207"/>
      <c r="AH14" s="207"/>
      <c r="AI14" s="207"/>
      <c r="AJ14" s="172"/>
    </row>
    <row r="15" spans="1:36">
      <c r="A15" s="207">
        <v>13</v>
      </c>
      <c r="B15" s="208" t="s">
        <v>25</v>
      </c>
      <c r="C15" s="209" t="s">
        <v>28</v>
      </c>
      <c r="D15" s="36" t="s">
        <v>29</v>
      </c>
      <c r="E15" s="207"/>
      <c r="F15" s="207"/>
      <c r="G15" s="207"/>
      <c r="H15" s="207"/>
      <c r="I15" s="207"/>
      <c r="J15" s="207"/>
      <c r="K15" s="207"/>
      <c r="L15" s="207"/>
      <c r="M15" s="207"/>
      <c r="N15" s="207"/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7"/>
      <c r="AF15" s="207"/>
      <c r="AG15" s="207"/>
      <c r="AH15" s="207"/>
      <c r="AI15" s="207"/>
      <c r="AJ15" s="172"/>
    </row>
    <row r="16" spans="1:36">
      <c r="A16" s="207">
        <v>14</v>
      </c>
      <c r="B16" s="208" t="s">
        <v>25</v>
      </c>
      <c r="C16" s="209" t="s">
        <v>30</v>
      </c>
      <c r="D16" s="36" t="s">
        <v>27</v>
      </c>
      <c r="E16" s="207"/>
      <c r="F16" s="207"/>
      <c r="G16" s="207"/>
      <c r="H16" s="207"/>
      <c r="I16" s="207"/>
      <c r="J16" s="207"/>
      <c r="K16" s="207"/>
      <c r="L16" s="207"/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7"/>
      <c r="AF16" s="207"/>
      <c r="AG16" s="207"/>
      <c r="AH16" s="207"/>
      <c r="AI16" s="207"/>
      <c r="AJ16" s="172"/>
    </row>
    <row r="17" spans="1:36">
      <c r="A17" s="207">
        <v>15</v>
      </c>
      <c r="B17" s="208" t="s">
        <v>25</v>
      </c>
      <c r="C17" s="209" t="s">
        <v>31</v>
      </c>
      <c r="D17" s="36" t="s">
        <v>27</v>
      </c>
      <c r="E17" s="207"/>
      <c r="F17" s="207"/>
      <c r="G17" s="207"/>
      <c r="H17" s="207"/>
      <c r="I17" s="207"/>
      <c r="J17" s="207"/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7"/>
      <c r="AF17" s="207"/>
      <c r="AG17" s="207"/>
      <c r="AH17" s="207"/>
      <c r="AI17" s="207"/>
      <c r="AJ17" s="172"/>
    </row>
    <row r="18" spans="1:36">
      <c r="A18" s="207">
        <v>16</v>
      </c>
      <c r="B18" s="208" t="s">
        <v>32</v>
      </c>
      <c r="C18" s="209" t="s">
        <v>33</v>
      </c>
      <c r="D18" s="36" t="s">
        <v>27</v>
      </c>
      <c r="E18" s="207"/>
      <c r="F18" s="207"/>
      <c r="G18" s="207"/>
      <c r="H18" s="207"/>
      <c r="I18" s="207"/>
      <c r="J18" s="207"/>
      <c r="K18" s="207"/>
      <c r="L18" s="207"/>
      <c r="M18" s="207"/>
      <c r="N18" s="207"/>
      <c r="O18" s="207"/>
      <c r="P18" s="207"/>
      <c r="Q18" s="207"/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  <c r="AE18" s="207"/>
      <c r="AF18" s="207"/>
      <c r="AG18" s="207"/>
      <c r="AH18" s="207"/>
      <c r="AI18" s="207"/>
      <c r="AJ18" s="172"/>
    </row>
    <row r="19" spans="1:36">
      <c r="A19" s="207">
        <v>17</v>
      </c>
      <c r="B19" s="208" t="s">
        <v>32</v>
      </c>
      <c r="C19" s="209" t="s">
        <v>34</v>
      </c>
      <c r="D19" s="36" t="s">
        <v>27</v>
      </c>
      <c r="E19" s="207"/>
      <c r="F19" s="207"/>
      <c r="G19" s="207"/>
      <c r="H19" s="207"/>
      <c r="I19" s="207"/>
      <c r="J19" s="207"/>
      <c r="K19" s="207"/>
      <c r="L19" s="207"/>
      <c r="M19" s="207"/>
      <c r="N19" s="207"/>
      <c r="O19" s="207"/>
      <c r="P19" s="207"/>
      <c r="Q19" s="207"/>
      <c r="R19" s="207"/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7"/>
      <c r="AE19" s="207"/>
      <c r="AF19" s="207"/>
      <c r="AG19" s="207"/>
      <c r="AH19" s="207"/>
      <c r="AI19" s="207"/>
      <c r="AJ19" s="172"/>
    </row>
    <row r="20" spans="1:36">
      <c r="A20" s="207">
        <v>18</v>
      </c>
      <c r="B20" s="208" t="s">
        <v>32</v>
      </c>
      <c r="C20" s="211" t="s">
        <v>35</v>
      </c>
      <c r="D20" s="36" t="s">
        <v>27</v>
      </c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7"/>
      <c r="R20" s="207"/>
      <c r="S20" s="207"/>
      <c r="T20" s="207"/>
      <c r="U20" s="207"/>
      <c r="V20" s="207"/>
      <c r="W20" s="207"/>
      <c r="X20" s="207"/>
      <c r="Y20" s="207"/>
      <c r="Z20" s="207"/>
      <c r="AA20" s="207"/>
      <c r="AB20" s="207"/>
      <c r="AC20" s="207"/>
      <c r="AD20" s="207"/>
      <c r="AE20" s="207"/>
      <c r="AF20" s="207"/>
      <c r="AG20" s="207"/>
      <c r="AH20" s="207"/>
      <c r="AI20" s="207"/>
      <c r="AJ20" s="172"/>
    </row>
    <row r="21" spans="1:36">
      <c r="A21" s="207">
        <v>19</v>
      </c>
      <c r="B21" s="208" t="s">
        <v>32</v>
      </c>
      <c r="C21" s="209" t="s">
        <v>36</v>
      </c>
      <c r="D21" s="36" t="s">
        <v>27</v>
      </c>
      <c r="E21" s="207"/>
      <c r="F21" s="207"/>
      <c r="G21" s="207"/>
      <c r="H21" s="207"/>
      <c r="I21" s="207"/>
      <c r="J21" s="207"/>
      <c r="K21" s="207"/>
      <c r="L21" s="207"/>
      <c r="M21" s="207"/>
      <c r="N21" s="207"/>
      <c r="O21" s="207"/>
      <c r="P21" s="207"/>
      <c r="Q21" s="207"/>
      <c r="R21" s="207"/>
      <c r="S21" s="207"/>
      <c r="T21" s="207"/>
      <c r="U21" s="207"/>
      <c r="V21" s="207"/>
      <c r="W21" s="207"/>
      <c r="X21" s="207"/>
      <c r="Y21" s="207"/>
      <c r="Z21" s="207"/>
      <c r="AA21" s="207"/>
      <c r="AB21" s="207"/>
      <c r="AC21" s="207"/>
      <c r="AD21" s="207"/>
      <c r="AE21" s="207"/>
      <c r="AF21" s="207"/>
      <c r="AG21" s="207"/>
      <c r="AH21" s="207"/>
      <c r="AI21" s="207"/>
      <c r="AJ21" s="172"/>
    </row>
    <row r="22" spans="1:36">
      <c r="A22" s="207">
        <v>20</v>
      </c>
      <c r="B22" s="208" t="s">
        <v>32</v>
      </c>
      <c r="C22" s="209" t="s">
        <v>37</v>
      </c>
      <c r="D22" s="36" t="s">
        <v>27</v>
      </c>
      <c r="E22" s="207"/>
      <c r="F22" s="207"/>
      <c r="G22" s="207"/>
      <c r="H22" s="207"/>
      <c r="I22" s="207"/>
      <c r="J22" s="207"/>
      <c r="K22" s="207"/>
      <c r="L22" s="207"/>
      <c r="M22" s="207"/>
      <c r="N22" s="207"/>
      <c r="O22" s="207"/>
      <c r="P22" s="207"/>
      <c r="Q22" s="207"/>
      <c r="R22" s="207"/>
      <c r="S22" s="207"/>
      <c r="T22" s="207"/>
      <c r="U22" s="207"/>
      <c r="V22" s="207"/>
      <c r="W22" s="207"/>
      <c r="X22" s="207"/>
      <c r="Y22" s="207"/>
      <c r="Z22" s="207"/>
      <c r="AA22" s="207"/>
      <c r="AB22" s="207"/>
      <c r="AC22" s="207"/>
      <c r="AD22" s="207"/>
      <c r="AE22" s="207"/>
      <c r="AF22" s="207"/>
      <c r="AG22" s="207"/>
      <c r="AH22" s="207"/>
      <c r="AI22" s="207"/>
      <c r="AJ22" s="172"/>
    </row>
    <row r="23" spans="1:36">
      <c r="A23" s="207">
        <v>21</v>
      </c>
      <c r="B23" s="208" t="s">
        <v>32</v>
      </c>
      <c r="C23" s="209" t="s">
        <v>38</v>
      </c>
      <c r="D23" s="36" t="s">
        <v>27</v>
      </c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7"/>
      <c r="W23" s="207"/>
      <c r="X23" s="207"/>
      <c r="Y23" s="207"/>
      <c r="Z23" s="207"/>
      <c r="AA23" s="207"/>
      <c r="AB23" s="207"/>
      <c r="AC23" s="207"/>
      <c r="AD23" s="207"/>
      <c r="AE23" s="207"/>
      <c r="AF23" s="207"/>
      <c r="AG23" s="207"/>
      <c r="AH23" s="207"/>
      <c r="AI23" s="207"/>
      <c r="AJ23" s="172"/>
    </row>
    <row r="24" spans="1:36">
      <c r="A24" s="207">
        <v>22</v>
      </c>
      <c r="B24" s="208" t="s">
        <v>32</v>
      </c>
      <c r="C24" s="209" t="s">
        <v>39</v>
      </c>
      <c r="D24" s="36" t="s">
        <v>27</v>
      </c>
      <c r="E24" s="207"/>
      <c r="F24" s="207"/>
      <c r="G24" s="207"/>
      <c r="H24" s="207"/>
      <c r="I24" s="207"/>
      <c r="J24" s="207"/>
      <c r="K24" s="207"/>
      <c r="L24" s="207"/>
      <c r="M24" s="207"/>
      <c r="N24" s="207"/>
      <c r="O24" s="207"/>
      <c r="P24" s="207"/>
      <c r="Q24" s="207"/>
      <c r="R24" s="207"/>
      <c r="S24" s="207"/>
      <c r="T24" s="207"/>
      <c r="U24" s="207"/>
      <c r="V24" s="207"/>
      <c r="W24" s="207"/>
      <c r="X24" s="207"/>
      <c r="Y24" s="207"/>
      <c r="Z24" s="207"/>
      <c r="AA24" s="207"/>
      <c r="AB24" s="207"/>
      <c r="AC24" s="207"/>
      <c r="AD24" s="207"/>
      <c r="AE24" s="207"/>
      <c r="AF24" s="207"/>
      <c r="AG24" s="207"/>
      <c r="AH24" s="207"/>
      <c r="AI24" s="207"/>
      <c r="AJ24" s="172"/>
    </row>
    <row r="25" spans="1:36">
      <c r="A25" s="207">
        <v>23</v>
      </c>
      <c r="B25" s="208" t="s">
        <v>32</v>
      </c>
      <c r="C25" s="209" t="s">
        <v>40</v>
      </c>
      <c r="D25" s="36" t="s">
        <v>27</v>
      </c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7"/>
      <c r="W25" s="207"/>
      <c r="X25" s="207"/>
      <c r="Y25" s="207"/>
      <c r="Z25" s="207"/>
      <c r="AA25" s="207"/>
      <c r="AB25" s="207"/>
      <c r="AC25" s="207"/>
      <c r="AD25" s="207"/>
      <c r="AE25" s="207"/>
      <c r="AF25" s="207"/>
      <c r="AG25" s="207"/>
      <c r="AH25" s="207"/>
      <c r="AI25" s="207"/>
      <c r="AJ25" s="172"/>
    </row>
    <row r="26" spans="1:36">
      <c r="A26" s="207">
        <v>24</v>
      </c>
      <c r="B26" s="208" t="s">
        <v>32</v>
      </c>
      <c r="C26" s="209" t="s">
        <v>41</v>
      </c>
      <c r="D26" s="36" t="s">
        <v>27</v>
      </c>
      <c r="E26" s="207"/>
      <c r="F26" s="207"/>
      <c r="G26" s="207"/>
      <c r="H26" s="207"/>
      <c r="I26" s="207"/>
      <c r="J26" s="207"/>
      <c r="K26" s="207"/>
      <c r="L26" s="207"/>
      <c r="M26" s="207"/>
      <c r="N26" s="207"/>
      <c r="O26" s="207"/>
      <c r="P26" s="207"/>
      <c r="Q26" s="207"/>
      <c r="R26" s="207"/>
      <c r="S26" s="207"/>
      <c r="T26" s="207"/>
      <c r="U26" s="207"/>
      <c r="V26" s="207"/>
      <c r="W26" s="207"/>
      <c r="X26" s="207"/>
      <c r="Y26" s="207"/>
      <c r="Z26" s="207"/>
      <c r="AA26" s="207"/>
      <c r="AB26" s="207"/>
      <c r="AC26" s="207"/>
      <c r="AD26" s="207"/>
      <c r="AE26" s="207"/>
      <c r="AF26" s="207"/>
      <c r="AG26" s="207"/>
      <c r="AH26" s="207"/>
      <c r="AI26" s="207"/>
      <c r="AJ26" s="172"/>
    </row>
    <row r="27" spans="1:36">
      <c r="A27" s="207">
        <v>25</v>
      </c>
      <c r="B27" s="208" t="s">
        <v>32</v>
      </c>
      <c r="C27" s="209" t="s">
        <v>42</v>
      </c>
      <c r="D27" s="36" t="s">
        <v>27</v>
      </c>
      <c r="E27" s="207"/>
      <c r="F27" s="207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7"/>
      <c r="Y27" s="207"/>
      <c r="Z27" s="207"/>
      <c r="AA27" s="207"/>
      <c r="AB27" s="207"/>
      <c r="AC27" s="207"/>
      <c r="AD27" s="207"/>
      <c r="AE27" s="207"/>
      <c r="AF27" s="207"/>
      <c r="AG27" s="207"/>
      <c r="AH27" s="207"/>
      <c r="AI27" s="207"/>
      <c r="AJ27" s="172"/>
    </row>
    <row r="28" spans="1:36">
      <c r="A28" s="207">
        <v>26</v>
      </c>
      <c r="B28" s="208" t="s">
        <v>32</v>
      </c>
      <c r="C28" s="209" t="s">
        <v>43</v>
      </c>
      <c r="D28" s="36" t="s">
        <v>27</v>
      </c>
      <c r="E28" s="207"/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207"/>
      <c r="Z28" s="207"/>
      <c r="AA28" s="207"/>
      <c r="AB28" s="207"/>
      <c r="AC28" s="207"/>
      <c r="AD28" s="207"/>
      <c r="AE28" s="207"/>
      <c r="AF28" s="207"/>
      <c r="AG28" s="207"/>
      <c r="AH28" s="207"/>
      <c r="AI28" s="207"/>
      <c r="AJ28" s="172"/>
    </row>
    <row r="29" spans="1:36">
      <c r="A29" s="207">
        <v>27</v>
      </c>
      <c r="B29" s="208" t="s">
        <v>32</v>
      </c>
      <c r="C29" s="209" t="s">
        <v>44</v>
      </c>
      <c r="D29" s="36" t="s">
        <v>27</v>
      </c>
      <c r="E29" s="207"/>
      <c r="F29" s="207"/>
      <c r="G29" s="207"/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7"/>
      <c r="AA29" s="207"/>
      <c r="AB29" s="207"/>
      <c r="AC29" s="207"/>
      <c r="AD29" s="207"/>
      <c r="AE29" s="207"/>
      <c r="AF29" s="207"/>
      <c r="AG29" s="207"/>
      <c r="AH29" s="207"/>
      <c r="AI29" s="207"/>
      <c r="AJ29" s="172"/>
    </row>
    <row r="30" spans="1:36">
      <c r="A30" s="207">
        <v>28</v>
      </c>
      <c r="B30" s="208" t="s">
        <v>32</v>
      </c>
      <c r="C30" s="209" t="s">
        <v>45</v>
      </c>
      <c r="D30" s="36" t="s">
        <v>27</v>
      </c>
      <c r="E30" s="207"/>
      <c r="F30" s="207"/>
      <c r="G30" s="207"/>
      <c r="H30" s="207"/>
      <c r="I30" s="207"/>
      <c r="J30" s="207"/>
      <c r="K30" s="207"/>
      <c r="L30" s="207"/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  <c r="AA30" s="207"/>
      <c r="AB30" s="207"/>
      <c r="AC30" s="207"/>
      <c r="AD30" s="207"/>
      <c r="AE30" s="207"/>
      <c r="AF30" s="207"/>
      <c r="AG30" s="207"/>
      <c r="AH30" s="207"/>
      <c r="AI30" s="207"/>
      <c r="AJ30" s="172"/>
    </row>
    <row r="31" spans="1:36">
      <c r="A31" s="207">
        <v>29</v>
      </c>
      <c r="B31" s="208" t="s">
        <v>32</v>
      </c>
      <c r="C31" s="209" t="s">
        <v>46</v>
      </c>
      <c r="D31" s="36" t="s">
        <v>27</v>
      </c>
      <c r="E31" s="207"/>
      <c r="F31" s="207"/>
      <c r="G31" s="207"/>
      <c r="H31" s="207"/>
      <c r="I31" s="207"/>
      <c r="J31" s="207"/>
      <c r="K31" s="207"/>
      <c r="L31" s="207"/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207"/>
      <c r="AA31" s="207"/>
      <c r="AB31" s="207"/>
      <c r="AC31" s="207"/>
      <c r="AD31" s="207"/>
      <c r="AE31" s="207"/>
      <c r="AF31" s="207"/>
      <c r="AG31" s="207"/>
      <c r="AH31" s="207"/>
      <c r="AI31" s="207"/>
      <c r="AJ31" s="172"/>
    </row>
    <row r="32" spans="1:36">
      <c r="A32" s="207">
        <v>30</v>
      </c>
      <c r="B32" s="208" t="s">
        <v>32</v>
      </c>
      <c r="C32" s="209" t="s">
        <v>47</v>
      </c>
      <c r="D32" s="36" t="s">
        <v>27</v>
      </c>
      <c r="E32" s="207"/>
      <c r="F32" s="207"/>
      <c r="G32" s="207"/>
      <c r="H32" s="207"/>
      <c r="I32" s="207"/>
      <c r="J32" s="207"/>
      <c r="K32" s="207"/>
      <c r="L32" s="207"/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  <c r="AA32" s="207"/>
      <c r="AB32" s="207"/>
      <c r="AC32" s="207"/>
      <c r="AD32" s="207"/>
      <c r="AE32" s="207"/>
      <c r="AF32" s="207"/>
      <c r="AG32" s="207"/>
      <c r="AH32" s="207"/>
      <c r="AI32" s="207"/>
      <c r="AJ32" s="172"/>
    </row>
    <row r="33" spans="1:36">
      <c r="A33" s="207">
        <v>31</v>
      </c>
      <c r="B33" s="208" t="s">
        <v>32</v>
      </c>
      <c r="C33" s="212" t="s">
        <v>48</v>
      </c>
      <c r="D33" s="36" t="s">
        <v>27</v>
      </c>
      <c r="E33" s="207"/>
      <c r="F33" s="207"/>
      <c r="G33" s="207"/>
      <c r="H33" s="207"/>
      <c r="I33" s="207"/>
      <c r="J33" s="207"/>
      <c r="K33" s="207"/>
      <c r="L33" s="207"/>
      <c r="M33" s="207"/>
      <c r="N33" s="207"/>
      <c r="O33" s="207"/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07"/>
      <c r="AA33" s="207"/>
      <c r="AB33" s="207"/>
      <c r="AC33" s="207"/>
      <c r="AD33" s="207"/>
      <c r="AE33" s="207"/>
      <c r="AF33" s="207"/>
      <c r="AG33" s="207"/>
      <c r="AH33" s="207"/>
      <c r="AI33" s="207"/>
      <c r="AJ33" s="172"/>
    </row>
    <row r="34" spans="1:36">
      <c r="A34" s="207">
        <v>32</v>
      </c>
      <c r="B34" s="208" t="s">
        <v>51</v>
      </c>
      <c r="C34" s="209" t="s">
        <v>52</v>
      </c>
      <c r="D34" s="36" t="s">
        <v>27</v>
      </c>
      <c r="E34" s="207"/>
      <c r="F34" s="207"/>
      <c r="G34" s="207"/>
      <c r="H34" s="207"/>
      <c r="I34" s="207"/>
      <c r="J34" s="207"/>
      <c r="K34" s="207"/>
      <c r="L34" s="207"/>
      <c r="M34" s="207"/>
      <c r="N34" s="207"/>
      <c r="O34" s="207"/>
      <c r="P34" s="207"/>
      <c r="Q34" s="207"/>
      <c r="R34" s="207"/>
      <c r="S34" s="207"/>
      <c r="T34" s="207"/>
      <c r="U34" s="207"/>
      <c r="V34" s="207"/>
      <c r="W34" s="207"/>
      <c r="X34" s="207"/>
      <c r="Y34" s="207"/>
      <c r="Z34" s="207"/>
      <c r="AA34" s="207"/>
      <c r="AB34" s="207"/>
      <c r="AC34" s="207"/>
      <c r="AD34" s="207"/>
      <c r="AE34" s="207"/>
      <c r="AF34" s="207"/>
      <c r="AG34" s="207"/>
      <c r="AH34" s="207"/>
      <c r="AI34" s="207"/>
      <c r="AJ34" s="172"/>
    </row>
    <row r="35" spans="1:36">
      <c r="A35" s="207">
        <v>33</v>
      </c>
      <c r="B35" s="208" t="s">
        <v>51</v>
      </c>
      <c r="C35" s="212" t="s">
        <v>53</v>
      </c>
      <c r="D35" s="36" t="s">
        <v>27</v>
      </c>
      <c r="E35" s="207"/>
      <c r="F35" s="207"/>
      <c r="G35" s="207"/>
      <c r="H35" s="207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Y35" s="207"/>
      <c r="Z35" s="207"/>
      <c r="AA35" s="207"/>
      <c r="AB35" s="207"/>
      <c r="AC35" s="207"/>
      <c r="AD35" s="207"/>
      <c r="AE35" s="207"/>
      <c r="AF35" s="207"/>
      <c r="AG35" s="207"/>
      <c r="AH35" s="207"/>
      <c r="AI35" s="207"/>
      <c r="AJ35" s="172"/>
    </row>
    <row r="36" spans="1:36">
      <c r="A36" s="207">
        <v>34</v>
      </c>
      <c r="B36" s="208" t="s">
        <v>51</v>
      </c>
      <c r="C36" s="211" t="s">
        <v>54</v>
      </c>
      <c r="D36" s="36" t="s">
        <v>55</v>
      </c>
      <c r="E36" s="207"/>
      <c r="F36" s="207"/>
      <c r="G36" s="207"/>
      <c r="H36" s="207"/>
      <c r="I36" s="207"/>
      <c r="J36" s="207"/>
      <c r="K36" s="207"/>
      <c r="L36" s="207"/>
      <c r="M36" s="207"/>
      <c r="N36" s="207"/>
      <c r="O36" s="207"/>
      <c r="P36" s="207"/>
      <c r="Q36" s="207"/>
      <c r="R36" s="207"/>
      <c r="S36" s="207"/>
      <c r="T36" s="207"/>
      <c r="U36" s="207"/>
      <c r="V36" s="207"/>
      <c r="W36" s="207"/>
      <c r="X36" s="207"/>
      <c r="Y36" s="207"/>
      <c r="Z36" s="207"/>
      <c r="AA36" s="207"/>
      <c r="AB36" s="207"/>
      <c r="AC36" s="207"/>
      <c r="AD36" s="207"/>
      <c r="AE36" s="207"/>
      <c r="AF36" s="207"/>
      <c r="AG36" s="207"/>
      <c r="AH36" s="207"/>
      <c r="AI36" s="207"/>
      <c r="AJ36" s="172"/>
    </row>
    <row r="37" spans="1:36">
      <c r="A37" s="207">
        <v>35</v>
      </c>
      <c r="B37" s="208" t="s">
        <v>51</v>
      </c>
      <c r="C37" s="211" t="s">
        <v>56</v>
      </c>
      <c r="D37" s="36" t="s">
        <v>57</v>
      </c>
      <c r="E37" s="207"/>
      <c r="F37" s="207"/>
      <c r="G37" s="207"/>
      <c r="H37" s="207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Y37" s="207"/>
      <c r="Z37" s="207"/>
      <c r="AA37" s="207"/>
      <c r="AB37" s="207"/>
      <c r="AC37" s="207"/>
      <c r="AD37" s="207"/>
      <c r="AE37" s="207"/>
      <c r="AF37" s="207"/>
      <c r="AG37" s="207"/>
      <c r="AH37" s="207"/>
      <c r="AI37" s="207"/>
      <c r="AJ37" s="172"/>
    </row>
    <row r="38" spans="1:36">
      <c r="A38" s="207">
        <v>36</v>
      </c>
      <c r="B38" s="208" t="s">
        <v>51</v>
      </c>
      <c r="C38" s="211" t="s">
        <v>58</v>
      </c>
      <c r="D38" s="36" t="s">
        <v>59</v>
      </c>
      <c r="E38" s="207"/>
      <c r="F38" s="207"/>
      <c r="G38" s="207"/>
      <c r="H38" s="207"/>
      <c r="I38" s="207"/>
      <c r="J38" s="207"/>
      <c r="K38" s="207"/>
      <c r="L38" s="207"/>
      <c r="M38" s="207"/>
      <c r="N38" s="207"/>
      <c r="O38" s="207"/>
      <c r="P38" s="207"/>
      <c r="Q38" s="207"/>
      <c r="R38" s="207"/>
      <c r="S38" s="207"/>
      <c r="T38" s="207"/>
      <c r="U38" s="207"/>
      <c r="V38" s="207"/>
      <c r="W38" s="207"/>
      <c r="X38" s="207"/>
      <c r="Y38" s="207"/>
      <c r="Z38" s="207"/>
      <c r="AA38" s="207"/>
      <c r="AB38" s="207"/>
      <c r="AC38" s="207"/>
      <c r="AD38" s="207"/>
      <c r="AE38" s="207"/>
      <c r="AF38" s="207"/>
      <c r="AG38" s="207"/>
      <c r="AH38" s="207"/>
      <c r="AI38" s="207"/>
      <c r="AJ38" s="172"/>
    </row>
    <row r="39" spans="1:36">
      <c r="A39" s="207">
        <v>37</v>
      </c>
      <c r="B39" s="208" t="s">
        <v>51</v>
      </c>
      <c r="C39" s="211" t="s">
        <v>60</v>
      </c>
      <c r="D39" s="36" t="s">
        <v>27</v>
      </c>
      <c r="E39" s="207"/>
      <c r="F39" s="207"/>
      <c r="G39" s="207"/>
      <c r="H39" s="207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Y39" s="207"/>
      <c r="Z39" s="207"/>
      <c r="AA39" s="207"/>
      <c r="AB39" s="207"/>
      <c r="AC39" s="207"/>
      <c r="AD39" s="207"/>
      <c r="AE39" s="207"/>
      <c r="AF39" s="207"/>
      <c r="AG39" s="207"/>
      <c r="AH39" s="207"/>
      <c r="AI39" s="207"/>
      <c r="AJ39" s="172"/>
    </row>
    <row r="40" spans="1:36">
      <c r="A40" s="207">
        <v>38</v>
      </c>
      <c r="B40" s="208" t="s">
        <v>51</v>
      </c>
      <c r="C40" s="211" t="s">
        <v>61</v>
      </c>
      <c r="D40" s="36" t="s">
        <v>27</v>
      </c>
      <c r="E40" s="207"/>
      <c r="F40" s="207"/>
      <c r="G40" s="207"/>
      <c r="H40" s="207"/>
      <c r="I40" s="207"/>
      <c r="J40" s="207"/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Y40" s="207"/>
      <c r="Z40" s="207"/>
      <c r="AA40" s="207"/>
      <c r="AB40" s="207"/>
      <c r="AC40" s="207"/>
      <c r="AD40" s="207"/>
      <c r="AE40" s="207"/>
      <c r="AF40" s="207"/>
      <c r="AG40" s="207"/>
      <c r="AH40" s="207"/>
      <c r="AI40" s="207"/>
      <c r="AJ40" s="172"/>
    </row>
    <row r="41" spans="1:36">
      <c r="A41" s="207">
        <v>39</v>
      </c>
      <c r="B41" s="208" t="s">
        <v>51</v>
      </c>
      <c r="C41" s="211" t="s">
        <v>62</v>
      </c>
      <c r="D41" s="36" t="s">
        <v>27</v>
      </c>
      <c r="E41" s="207"/>
      <c r="F41" s="207"/>
      <c r="G41" s="207"/>
      <c r="H41" s="207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Y41" s="207"/>
      <c r="Z41" s="207"/>
      <c r="AA41" s="207"/>
      <c r="AB41" s="207"/>
      <c r="AC41" s="207"/>
      <c r="AD41" s="207"/>
      <c r="AE41" s="207"/>
      <c r="AF41" s="207"/>
      <c r="AG41" s="207"/>
      <c r="AH41" s="207"/>
      <c r="AI41" s="207"/>
      <c r="AJ41" s="172"/>
    </row>
    <row r="42" spans="1:36">
      <c r="A42" s="207">
        <v>40</v>
      </c>
      <c r="B42" s="208" t="s">
        <v>51</v>
      </c>
      <c r="C42" s="212" t="s">
        <v>63</v>
      </c>
      <c r="D42" s="36" t="s">
        <v>27</v>
      </c>
      <c r="E42" s="207"/>
      <c r="F42" s="207"/>
      <c r="G42" s="207"/>
      <c r="H42" s="207"/>
      <c r="I42" s="207"/>
      <c r="J42" s="207"/>
      <c r="K42" s="20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Y42" s="207"/>
      <c r="Z42" s="207"/>
      <c r="AA42" s="207"/>
      <c r="AB42" s="207"/>
      <c r="AC42" s="207"/>
      <c r="AD42" s="207"/>
      <c r="AE42" s="207"/>
      <c r="AF42" s="207"/>
      <c r="AG42" s="207"/>
      <c r="AH42" s="207"/>
      <c r="AI42" s="207"/>
      <c r="AJ42" s="172"/>
    </row>
    <row r="43" spans="1:36">
      <c r="A43" s="207">
        <v>41</v>
      </c>
      <c r="B43" s="208" t="s">
        <v>51</v>
      </c>
      <c r="C43" s="212" t="s">
        <v>64</v>
      </c>
      <c r="D43" s="36" t="s">
        <v>27</v>
      </c>
      <c r="E43" s="207"/>
      <c r="F43" s="207"/>
      <c r="G43" s="207"/>
      <c r="H43" s="207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Y43" s="207"/>
      <c r="Z43" s="207"/>
      <c r="AA43" s="207"/>
      <c r="AB43" s="207"/>
      <c r="AC43" s="207"/>
      <c r="AD43" s="207"/>
      <c r="AE43" s="207"/>
      <c r="AF43" s="207"/>
      <c r="AG43" s="207"/>
      <c r="AH43" s="207"/>
      <c r="AI43" s="207"/>
      <c r="AJ43" s="172"/>
    </row>
    <row r="44" spans="1:36">
      <c r="A44" s="207">
        <v>42</v>
      </c>
      <c r="B44" s="208" t="s">
        <v>51</v>
      </c>
      <c r="C44" s="212" t="s">
        <v>65</v>
      </c>
      <c r="D44" s="36" t="s">
        <v>27</v>
      </c>
      <c r="E44" s="207"/>
      <c r="F44" s="207"/>
      <c r="G44" s="207"/>
      <c r="H44" s="207"/>
      <c r="I44" s="207"/>
      <c r="J44" s="207"/>
      <c r="K44" s="207"/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Y44" s="207"/>
      <c r="Z44" s="207"/>
      <c r="AA44" s="207"/>
      <c r="AB44" s="207"/>
      <c r="AC44" s="207"/>
      <c r="AD44" s="207"/>
      <c r="AE44" s="207"/>
      <c r="AF44" s="207"/>
      <c r="AG44" s="207"/>
      <c r="AH44" s="207"/>
      <c r="AI44" s="207"/>
      <c r="AJ44" s="172"/>
    </row>
    <row r="45" spans="1:36">
      <c r="A45" s="207">
        <v>43</v>
      </c>
      <c r="B45" s="208" t="s">
        <v>51</v>
      </c>
      <c r="C45" s="212" t="s">
        <v>66</v>
      </c>
      <c r="D45" s="36" t="s">
        <v>27</v>
      </c>
      <c r="E45" s="207"/>
      <c r="F45" s="207"/>
      <c r="G45" s="207"/>
      <c r="H45" s="207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Y45" s="207"/>
      <c r="Z45" s="207"/>
      <c r="AA45" s="207"/>
      <c r="AB45" s="207"/>
      <c r="AC45" s="207"/>
      <c r="AD45" s="207"/>
      <c r="AE45" s="207"/>
      <c r="AF45" s="207"/>
      <c r="AG45" s="207"/>
      <c r="AH45" s="207"/>
      <c r="AI45" s="207"/>
      <c r="AJ45" s="172"/>
    </row>
    <row r="46" spans="1:36">
      <c r="A46" s="207">
        <v>44</v>
      </c>
      <c r="B46" s="208" t="s">
        <v>51</v>
      </c>
      <c r="C46" s="212" t="s">
        <v>67</v>
      </c>
      <c r="D46" s="36" t="s">
        <v>27</v>
      </c>
      <c r="E46" s="207"/>
      <c r="F46" s="207"/>
      <c r="G46" s="207"/>
      <c r="H46" s="207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Y46" s="207"/>
      <c r="Z46" s="207"/>
      <c r="AA46" s="207"/>
      <c r="AB46" s="207"/>
      <c r="AC46" s="207"/>
      <c r="AD46" s="207"/>
      <c r="AE46" s="207"/>
      <c r="AF46" s="207"/>
      <c r="AG46" s="207"/>
      <c r="AH46" s="207"/>
      <c r="AI46" s="207"/>
      <c r="AJ46" s="172"/>
    </row>
    <row r="47" spans="1:36">
      <c r="A47" s="207">
        <v>45</v>
      </c>
      <c r="B47" s="208" t="s">
        <v>51</v>
      </c>
      <c r="C47" s="212" t="s">
        <v>68</v>
      </c>
      <c r="D47" s="36" t="s">
        <v>27</v>
      </c>
      <c r="E47" s="207"/>
      <c r="F47" s="207"/>
      <c r="G47" s="207"/>
      <c r="H47" s="207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Y47" s="207"/>
      <c r="Z47" s="207"/>
      <c r="AA47" s="207"/>
      <c r="AB47" s="207"/>
      <c r="AC47" s="207"/>
      <c r="AD47" s="207"/>
      <c r="AE47" s="207"/>
      <c r="AF47" s="207"/>
      <c r="AG47" s="207"/>
      <c r="AH47" s="207"/>
      <c r="AI47" s="207"/>
      <c r="AJ47" s="172"/>
    </row>
    <row r="48" spans="1:36">
      <c r="A48" s="207">
        <v>46</v>
      </c>
      <c r="B48" s="208" t="s">
        <v>51</v>
      </c>
      <c r="C48" s="212" t="s">
        <v>69</v>
      </c>
      <c r="D48" s="36" t="s">
        <v>27</v>
      </c>
      <c r="E48" s="207"/>
      <c r="F48" s="207"/>
      <c r="G48" s="207"/>
      <c r="H48" s="207"/>
      <c r="I48" s="207"/>
      <c r="J48" s="207"/>
      <c r="K48" s="207"/>
      <c r="L48" s="207"/>
      <c r="M48" s="207"/>
      <c r="N48" s="207"/>
      <c r="O48" s="207"/>
      <c r="P48" s="207"/>
      <c r="Q48" s="207"/>
      <c r="R48" s="207"/>
      <c r="S48" s="207"/>
      <c r="T48" s="207"/>
      <c r="U48" s="207"/>
      <c r="V48" s="207"/>
      <c r="W48" s="207"/>
      <c r="X48" s="207"/>
      <c r="Y48" s="207"/>
      <c r="Z48" s="207"/>
      <c r="AA48" s="207"/>
      <c r="AB48" s="207"/>
      <c r="AC48" s="207"/>
      <c r="AD48" s="207"/>
      <c r="AE48" s="207"/>
      <c r="AF48" s="207"/>
      <c r="AG48" s="207"/>
      <c r="AH48" s="207"/>
      <c r="AI48" s="207"/>
      <c r="AJ48" s="172"/>
    </row>
    <row r="49" spans="1:36">
      <c r="A49" s="207">
        <v>47</v>
      </c>
      <c r="B49" s="208" t="s">
        <v>70</v>
      </c>
      <c r="C49" s="209" t="s">
        <v>71</v>
      </c>
      <c r="D49" s="36" t="s">
        <v>27</v>
      </c>
      <c r="E49" s="207"/>
      <c r="F49" s="207"/>
      <c r="G49" s="207"/>
      <c r="H49" s="207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Y49" s="207"/>
      <c r="Z49" s="207"/>
      <c r="AA49" s="207"/>
      <c r="AB49" s="207"/>
      <c r="AC49" s="207"/>
      <c r="AD49" s="207"/>
      <c r="AE49" s="207"/>
      <c r="AF49" s="207"/>
      <c r="AG49" s="207"/>
      <c r="AH49" s="207"/>
      <c r="AI49" s="207"/>
      <c r="AJ49" s="172"/>
    </row>
    <row r="50" spans="1:36">
      <c r="A50" s="207">
        <v>48</v>
      </c>
      <c r="B50" s="208" t="s">
        <v>70</v>
      </c>
      <c r="C50" s="209" t="s">
        <v>73</v>
      </c>
      <c r="D50" s="36" t="s">
        <v>27</v>
      </c>
      <c r="E50" s="207"/>
      <c r="F50" s="207"/>
      <c r="G50" s="207"/>
      <c r="H50" s="207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Y50" s="207"/>
      <c r="Z50" s="207"/>
      <c r="AA50" s="207"/>
      <c r="AB50" s="207"/>
      <c r="AC50" s="207"/>
      <c r="AD50" s="207"/>
      <c r="AE50" s="207"/>
      <c r="AF50" s="207"/>
      <c r="AG50" s="207"/>
      <c r="AH50" s="207"/>
      <c r="AI50" s="207"/>
      <c r="AJ50" s="172"/>
    </row>
    <row r="51" spans="1:36">
      <c r="A51" s="207">
        <v>49</v>
      </c>
      <c r="B51" s="208" t="s">
        <v>70</v>
      </c>
      <c r="C51" s="209" t="s">
        <v>75</v>
      </c>
      <c r="D51" s="36" t="s">
        <v>27</v>
      </c>
      <c r="E51" s="207"/>
      <c r="F51" s="207"/>
      <c r="G51" s="207"/>
      <c r="H51" s="207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Y51" s="207"/>
      <c r="Z51" s="207"/>
      <c r="AA51" s="207"/>
      <c r="AB51" s="207"/>
      <c r="AC51" s="207"/>
      <c r="AD51" s="207"/>
      <c r="AE51" s="207"/>
      <c r="AF51" s="207"/>
      <c r="AG51" s="207"/>
      <c r="AH51" s="207"/>
      <c r="AI51" s="207"/>
      <c r="AJ51" s="172"/>
    </row>
    <row r="52" spans="1:36">
      <c r="A52" s="207">
        <v>50</v>
      </c>
      <c r="B52" s="208" t="s">
        <v>70</v>
      </c>
      <c r="C52" s="209" t="s">
        <v>77</v>
      </c>
      <c r="D52" s="36" t="s">
        <v>27</v>
      </c>
      <c r="E52" s="207"/>
      <c r="F52" s="207"/>
      <c r="G52" s="207"/>
      <c r="H52" s="207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Y52" s="207"/>
      <c r="Z52" s="207"/>
      <c r="AA52" s="207"/>
      <c r="AB52" s="207"/>
      <c r="AC52" s="207"/>
      <c r="AD52" s="207"/>
      <c r="AE52" s="207"/>
      <c r="AF52" s="207"/>
      <c r="AG52" s="207"/>
      <c r="AH52" s="207"/>
      <c r="AI52" s="207"/>
      <c r="AJ52" s="172"/>
    </row>
    <row r="53" spans="1:36">
      <c r="A53" s="207">
        <v>51</v>
      </c>
      <c r="B53" s="208" t="s">
        <v>70</v>
      </c>
      <c r="C53" s="212" t="s">
        <v>79</v>
      </c>
      <c r="D53" s="36" t="s">
        <v>27</v>
      </c>
      <c r="E53" s="207"/>
      <c r="F53" s="207"/>
      <c r="G53" s="207"/>
      <c r="H53" s="207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Y53" s="207"/>
      <c r="Z53" s="207"/>
      <c r="AA53" s="207"/>
      <c r="AB53" s="207"/>
      <c r="AC53" s="207"/>
      <c r="AD53" s="207"/>
      <c r="AE53" s="207"/>
      <c r="AF53" s="207"/>
      <c r="AG53" s="207"/>
      <c r="AH53" s="207"/>
      <c r="AI53" s="207"/>
      <c r="AJ53" s="172"/>
    </row>
    <row r="54" spans="1:36">
      <c r="A54" s="207">
        <v>52</v>
      </c>
      <c r="B54" s="208" t="s">
        <v>70</v>
      </c>
      <c r="C54" s="209" t="s">
        <v>81</v>
      </c>
      <c r="D54" s="36" t="s">
        <v>82</v>
      </c>
      <c r="E54" s="207"/>
      <c r="F54" s="207"/>
      <c r="G54" s="207"/>
      <c r="H54" s="207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Y54" s="207"/>
      <c r="Z54" s="207"/>
      <c r="AA54" s="207"/>
      <c r="AB54" s="207"/>
      <c r="AC54" s="207"/>
      <c r="AD54" s="207"/>
      <c r="AE54" s="207"/>
      <c r="AF54" s="207"/>
      <c r="AG54" s="207"/>
      <c r="AH54" s="207"/>
      <c r="AI54" s="207"/>
      <c r="AJ54" s="172"/>
    </row>
    <row r="55" spans="1:36">
      <c r="A55" s="207">
        <v>53</v>
      </c>
      <c r="B55" s="208" t="s">
        <v>70</v>
      </c>
      <c r="C55" s="209" t="s">
        <v>84</v>
      </c>
      <c r="D55" s="36" t="s">
        <v>82</v>
      </c>
      <c r="E55" s="207"/>
      <c r="F55" s="207"/>
      <c r="G55" s="207"/>
      <c r="H55" s="207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Y55" s="207"/>
      <c r="Z55" s="207"/>
      <c r="AA55" s="207"/>
      <c r="AB55" s="207"/>
      <c r="AC55" s="207"/>
      <c r="AD55" s="207"/>
      <c r="AE55" s="207"/>
      <c r="AF55" s="207"/>
      <c r="AG55" s="207"/>
      <c r="AH55" s="207"/>
      <c r="AI55" s="207"/>
      <c r="AJ55" s="172"/>
    </row>
    <row r="56" spans="1:36">
      <c r="A56" s="207">
        <v>54</v>
      </c>
      <c r="B56" s="208" t="s">
        <v>70</v>
      </c>
      <c r="C56" s="209" t="s">
        <v>86</v>
      </c>
      <c r="D56" s="36" t="s">
        <v>27</v>
      </c>
      <c r="E56" s="207"/>
      <c r="F56" s="207"/>
      <c r="G56" s="207"/>
      <c r="H56" s="207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Y56" s="207"/>
      <c r="Z56" s="207"/>
      <c r="AA56" s="207"/>
      <c r="AB56" s="207"/>
      <c r="AC56" s="207"/>
      <c r="AD56" s="207"/>
      <c r="AE56" s="207"/>
      <c r="AF56" s="207"/>
      <c r="AG56" s="207"/>
      <c r="AH56" s="207"/>
      <c r="AI56" s="207"/>
      <c r="AJ56" s="172"/>
    </row>
    <row r="57" spans="1:36">
      <c r="A57" s="207">
        <v>55</v>
      </c>
      <c r="B57" s="208" t="s">
        <v>70</v>
      </c>
      <c r="C57" s="209" t="s">
        <v>88</v>
      </c>
      <c r="D57" s="36" t="s">
        <v>27</v>
      </c>
      <c r="E57" s="207"/>
      <c r="F57" s="207"/>
      <c r="G57" s="207"/>
      <c r="H57" s="207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Y57" s="207"/>
      <c r="Z57" s="207"/>
      <c r="AA57" s="207"/>
      <c r="AB57" s="207"/>
      <c r="AC57" s="207"/>
      <c r="AD57" s="207"/>
      <c r="AE57" s="207"/>
      <c r="AF57" s="207"/>
      <c r="AG57" s="207"/>
      <c r="AH57" s="207"/>
      <c r="AI57" s="207"/>
      <c r="AJ57" s="172"/>
    </row>
    <row r="58" spans="1:36">
      <c r="A58" s="207">
        <v>56</v>
      </c>
      <c r="B58" s="208" t="s">
        <v>70</v>
      </c>
      <c r="C58" s="209" t="s">
        <v>90</v>
      </c>
      <c r="D58" s="36" t="s">
        <v>82</v>
      </c>
      <c r="E58" s="207"/>
      <c r="F58" s="207"/>
      <c r="G58" s="207"/>
      <c r="H58" s="207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Y58" s="207"/>
      <c r="Z58" s="207"/>
      <c r="AA58" s="207"/>
      <c r="AB58" s="207"/>
      <c r="AC58" s="207"/>
      <c r="AD58" s="207"/>
      <c r="AE58" s="207"/>
      <c r="AF58" s="207"/>
      <c r="AG58" s="207"/>
      <c r="AH58" s="207"/>
      <c r="AI58" s="207"/>
      <c r="AJ58" s="172"/>
    </row>
    <row r="59" spans="1:36">
      <c r="A59" s="207">
        <v>57</v>
      </c>
      <c r="B59" s="208" t="s">
        <v>70</v>
      </c>
      <c r="C59" s="209" t="s">
        <v>92</v>
      </c>
      <c r="D59" s="36" t="s">
        <v>27</v>
      </c>
      <c r="E59" s="207"/>
      <c r="F59" s="207"/>
      <c r="G59" s="207"/>
      <c r="H59" s="207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Y59" s="207"/>
      <c r="Z59" s="207"/>
      <c r="AA59" s="207"/>
      <c r="AB59" s="207"/>
      <c r="AC59" s="207"/>
      <c r="AD59" s="207"/>
      <c r="AE59" s="207"/>
      <c r="AF59" s="207"/>
      <c r="AG59" s="207"/>
      <c r="AH59" s="207"/>
      <c r="AI59" s="207"/>
      <c r="AJ59" s="172"/>
    </row>
    <row r="60" spans="1:36">
      <c r="A60" s="207">
        <v>58</v>
      </c>
      <c r="B60" s="208" t="s">
        <v>70</v>
      </c>
      <c r="C60" s="209" t="s">
        <v>94</v>
      </c>
      <c r="D60" s="36" t="s">
        <v>27</v>
      </c>
      <c r="E60" s="207"/>
      <c r="F60" s="207"/>
      <c r="G60" s="207"/>
      <c r="H60" s="207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Y60" s="207"/>
      <c r="Z60" s="207"/>
      <c r="AA60" s="207"/>
      <c r="AB60" s="207"/>
      <c r="AC60" s="207"/>
      <c r="AD60" s="207"/>
      <c r="AE60" s="207"/>
      <c r="AF60" s="207"/>
      <c r="AG60" s="207"/>
      <c r="AH60" s="207"/>
      <c r="AI60" s="207"/>
      <c r="AJ60" s="172"/>
    </row>
    <row r="61" spans="1:36">
      <c r="A61" s="207">
        <v>59</v>
      </c>
      <c r="B61" s="208" t="s">
        <v>96</v>
      </c>
      <c r="C61" s="209" t="s">
        <v>97</v>
      </c>
      <c r="D61" s="36" t="s">
        <v>98</v>
      </c>
      <c r="E61" s="207"/>
      <c r="F61" s="207"/>
      <c r="G61" s="207"/>
      <c r="H61" s="207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Y61" s="207"/>
      <c r="Z61" s="207"/>
      <c r="AA61" s="207"/>
      <c r="AB61" s="207"/>
      <c r="AC61" s="207"/>
      <c r="AD61" s="207"/>
      <c r="AE61" s="207"/>
      <c r="AF61" s="207"/>
      <c r="AG61" s="207"/>
      <c r="AH61" s="207"/>
      <c r="AI61" s="207"/>
      <c r="AJ61" s="172"/>
    </row>
    <row r="62" spans="1:36">
      <c r="A62" s="207">
        <v>60</v>
      </c>
      <c r="B62" s="208" t="s">
        <v>96</v>
      </c>
      <c r="C62" s="209" t="s">
        <v>100</v>
      </c>
      <c r="D62" s="36" t="s">
        <v>98</v>
      </c>
      <c r="E62" s="207"/>
      <c r="F62" s="207"/>
      <c r="G62" s="207"/>
      <c r="H62" s="207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Y62" s="207"/>
      <c r="Z62" s="207"/>
      <c r="AA62" s="207"/>
      <c r="AB62" s="207"/>
      <c r="AC62" s="207"/>
      <c r="AD62" s="207"/>
      <c r="AE62" s="207"/>
      <c r="AF62" s="207"/>
      <c r="AG62" s="207"/>
      <c r="AH62" s="207"/>
      <c r="AI62" s="207"/>
      <c r="AJ62" s="172"/>
    </row>
    <row r="63" spans="1:36">
      <c r="A63" s="207">
        <v>61</v>
      </c>
      <c r="B63" s="208" t="s">
        <v>96</v>
      </c>
      <c r="C63" s="209" t="s">
        <v>102</v>
      </c>
      <c r="D63" s="36" t="s">
        <v>98</v>
      </c>
      <c r="E63" s="207"/>
      <c r="F63" s="207"/>
      <c r="G63" s="207"/>
      <c r="H63" s="207"/>
      <c r="I63" s="207"/>
      <c r="J63" s="207"/>
      <c r="K63" s="207"/>
      <c r="L63" s="207"/>
      <c r="M63" s="207"/>
      <c r="N63" s="207"/>
      <c r="O63" s="207"/>
      <c r="P63" s="207"/>
      <c r="Q63" s="207"/>
      <c r="R63" s="207"/>
      <c r="S63" s="207"/>
      <c r="T63" s="207"/>
      <c r="U63" s="207"/>
      <c r="V63" s="207"/>
      <c r="W63" s="207"/>
      <c r="X63" s="207"/>
      <c r="Y63" s="207"/>
      <c r="Z63" s="207"/>
      <c r="AA63" s="207"/>
      <c r="AB63" s="207"/>
      <c r="AC63" s="207"/>
      <c r="AD63" s="207"/>
      <c r="AE63" s="207"/>
      <c r="AF63" s="207"/>
      <c r="AG63" s="207"/>
      <c r="AH63" s="207"/>
      <c r="AI63" s="207"/>
      <c r="AJ63" s="172"/>
    </row>
    <row r="64" spans="1:36">
      <c r="A64" s="207">
        <v>62</v>
      </c>
      <c r="B64" s="208" t="s">
        <v>96</v>
      </c>
      <c r="C64" s="209" t="s">
        <v>104</v>
      </c>
      <c r="D64" s="36" t="s">
        <v>98</v>
      </c>
      <c r="E64" s="207"/>
      <c r="F64" s="207"/>
      <c r="G64" s="207"/>
      <c r="H64" s="207"/>
      <c r="I64" s="207"/>
      <c r="J64" s="207"/>
      <c r="K64" s="207"/>
      <c r="L64" s="207"/>
      <c r="M64" s="207"/>
      <c r="N64" s="207"/>
      <c r="O64" s="207"/>
      <c r="P64" s="207"/>
      <c r="Q64" s="207"/>
      <c r="R64" s="207"/>
      <c r="S64" s="207"/>
      <c r="T64" s="207"/>
      <c r="U64" s="207"/>
      <c r="V64" s="207"/>
      <c r="W64" s="207"/>
      <c r="X64" s="207"/>
      <c r="Y64" s="207"/>
      <c r="Z64" s="207"/>
      <c r="AA64" s="207"/>
      <c r="AB64" s="207"/>
      <c r="AC64" s="207"/>
      <c r="AD64" s="207"/>
      <c r="AE64" s="207"/>
      <c r="AF64" s="207"/>
      <c r="AG64" s="207"/>
      <c r="AH64" s="207"/>
      <c r="AI64" s="207"/>
      <c r="AJ64" s="172"/>
    </row>
    <row r="65" spans="1:36">
      <c r="A65" s="207">
        <v>63</v>
      </c>
      <c r="B65" s="208" t="s">
        <v>96</v>
      </c>
      <c r="C65" s="209" t="s">
        <v>106</v>
      </c>
      <c r="D65" s="36" t="s">
        <v>98</v>
      </c>
      <c r="E65" s="207"/>
      <c r="F65" s="207"/>
      <c r="G65" s="207"/>
      <c r="H65" s="207"/>
      <c r="I65" s="207"/>
      <c r="J65" s="207"/>
      <c r="K65" s="207"/>
      <c r="L65" s="207"/>
      <c r="M65" s="207"/>
      <c r="N65" s="207"/>
      <c r="O65" s="207"/>
      <c r="P65" s="207"/>
      <c r="Q65" s="207"/>
      <c r="R65" s="207"/>
      <c r="S65" s="207"/>
      <c r="T65" s="207"/>
      <c r="U65" s="207"/>
      <c r="V65" s="207"/>
      <c r="W65" s="207"/>
      <c r="X65" s="207"/>
      <c r="Y65" s="207"/>
      <c r="Z65" s="207"/>
      <c r="AA65" s="207"/>
      <c r="AB65" s="207"/>
      <c r="AC65" s="207"/>
      <c r="AD65" s="207"/>
      <c r="AE65" s="207"/>
      <c r="AF65" s="207"/>
      <c r="AG65" s="207"/>
      <c r="AH65" s="207"/>
      <c r="AI65" s="207"/>
      <c r="AJ65" s="172"/>
    </row>
    <row r="66" spans="1:36">
      <c r="A66" s="207">
        <v>64</v>
      </c>
      <c r="B66" s="208" t="s">
        <v>96</v>
      </c>
      <c r="C66" s="209" t="s">
        <v>107</v>
      </c>
      <c r="D66" s="36" t="s">
        <v>98</v>
      </c>
      <c r="E66" s="207"/>
      <c r="F66" s="207"/>
      <c r="G66" s="207"/>
      <c r="H66" s="207"/>
      <c r="I66" s="207"/>
      <c r="J66" s="207"/>
      <c r="K66" s="207"/>
      <c r="L66" s="207"/>
      <c r="M66" s="207"/>
      <c r="N66" s="207"/>
      <c r="O66" s="207"/>
      <c r="P66" s="207"/>
      <c r="Q66" s="207"/>
      <c r="R66" s="207"/>
      <c r="S66" s="207"/>
      <c r="T66" s="207"/>
      <c r="U66" s="207"/>
      <c r="V66" s="207"/>
      <c r="W66" s="207"/>
      <c r="X66" s="207"/>
      <c r="Y66" s="207"/>
      <c r="Z66" s="207"/>
      <c r="AA66" s="207"/>
      <c r="AB66" s="207"/>
      <c r="AC66" s="207"/>
      <c r="AD66" s="207"/>
      <c r="AE66" s="207"/>
      <c r="AF66" s="207"/>
      <c r="AG66" s="207"/>
      <c r="AH66" s="207"/>
      <c r="AI66" s="207"/>
      <c r="AJ66" s="172"/>
    </row>
    <row r="67" spans="1:36">
      <c r="A67" s="207">
        <v>65</v>
      </c>
      <c r="B67" s="208" t="s">
        <v>96</v>
      </c>
      <c r="C67" s="209" t="s">
        <v>108</v>
      </c>
      <c r="D67" s="36" t="s">
        <v>98</v>
      </c>
      <c r="E67" s="207"/>
      <c r="F67" s="207"/>
      <c r="G67" s="207"/>
      <c r="H67" s="207"/>
      <c r="I67" s="207"/>
      <c r="J67" s="207"/>
      <c r="K67" s="207"/>
      <c r="L67" s="207"/>
      <c r="M67" s="207"/>
      <c r="N67" s="207"/>
      <c r="O67" s="207"/>
      <c r="P67" s="207"/>
      <c r="Q67" s="207"/>
      <c r="R67" s="207"/>
      <c r="S67" s="207"/>
      <c r="T67" s="207"/>
      <c r="U67" s="207"/>
      <c r="V67" s="207"/>
      <c r="W67" s="207"/>
      <c r="X67" s="207"/>
      <c r="Y67" s="207"/>
      <c r="Z67" s="207"/>
      <c r="AA67" s="207"/>
      <c r="AB67" s="207"/>
      <c r="AC67" s="207"/>
      <c r="AD67" s="207"/>
      <c r="AE67" s="207"/>
      <c r="AF67" s="207"/>
      <c r="AG67" s="207"/>
      <c r="AH67" s="207"/>
      <c r="AI67" s="207"/>
      <c r="AJ67" s="172"/>
    </row>
    <row r="68" spans="1:36">
      <c r="A68" s="207">
        <v>66</v>
      </c>
      <c r="B68" s="208" t="s">
        <v>96</v>
      </c>
      <c r="C68" s="209" t="s">
        <v>109</v>
      </c>
      <c r="D68" s="36" t="s">
        <v>98</v>
      </c>
      <c r="E68" s="207"/>
      <c r="F68" s="207"/>
      <c r="G68" s="207"/>
      <c r="H68" s="207"/>
      <c r="I68" s="207"/>
      <c r="J68" s="207"/>
      <c r="K68" s="207"/>
      <c r="L68" s="207"/>
      <c r="M68" s="207"/>
      <c r="N68" s="207"/>
      <c r="O68" s="207"/>
      <c r="P68" s="207"/>
      <c r="Q68" s="207"/>
      <c r="R68" s="207"/>
      <c r="S68" s="207"/>
      <c r="T68" s="207"/>
      <c r="U68" s="207"/>
      <c r="V68" s="207"/>
      <c r="W68" s="207"/>
      <c r="X68" s="207"/>
      <c r="Y68" s="207"/>
      <c r="Z68" s="207"/>
      <c r="AA68" s="207"/>
      <c r="AB68" s="207"/>
      <c r="AC68" s="207"/>
      <c r="AD68" s="207"/>
      <c r="AE68" s="207"/>
      <c r="AF68" s="207"/>
      <c r="AG68" s="207"/>
      <c r="AH68" s="207"/>
      <c r="AI68" s="207"/>
      <c r="AJ68" s="172"/>
    </row>
    <row r="69" spans="1:36">
      <c r="A69" s="207">
        <v>67</v>
      </c>
      <c r="B69" s="208" t="s">
        <v>96</v>
      </c>
      <c r="C69" s="209" t="s">
        <v>110</v>
      </c>
      <c r="D69" s="36" t="s">
        <v>98</v>
      </c>
      <c r="E69" s="207"/>
      <c r="F69" s="207"/>
      <c r="G69" s="207"/>
      <c r="H69" s="207"/>
      <c r="I69" s="207"/>
      <c r="J69" s="207"/>
      <c r="K69" s="207"/>
      <c r="L69" s="207"/>
      <c r="M69" s="207"/>
      <c r="N69" s="207"/>
      <c r="O69" s="207"/>
      <c r="P69" s="207"/>
      <c r="Q69" s="207"/>
      <c r="R69" s="207"/>
      <c r="S69" s="207"/>
      <c r="T69" s="207"/>
      <c r="U69" s="207"/>
      <c r="V69" s="207"/>
      <c r="W69" s="207"/>
      <c r="X69" s="207"/>
      <c r="Y69" s="207"/>
      <c r="Z69" s="207"/>
      <c r="AA69" s="207"/>
      <c r="AB69" s="207"/>
      <c r="AC69" s="207"/>
      <c r="AD69" s="207"/>
      <c r="AE69" s="207"/>
      <c r="AF69" s="207"/>
      <c r="AG69" s="207"/>
      <c r="AH69" s="207"/>
      <c r="AI69" s="207"/>
      <c r="AJ69" s="172"/>
    </row>
    <row r="70" spans="1:36">
      <c r="A70" s="207">
        <v>68</v>
      </c>
      <c r="B70" s="208" t="s">
        <v>96</v>
      </c>
      <c r="C70" s="209" t="s">
        <v>111</v>
      </c>
      <c r="D70" s="36" t="s">
        <v>98</v>
      </c>
      <c r="E70" s="207"/>
      <c r="F70" s="207"/>
      <c r="G70" s="207"/>
      <c r="H70" s="207"/>
      <c r="I70" s="207"/>
      <c r="J70" s="207"/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7"/>
      <c r="X70" s="207"/>
      <c r="Y70" s="207"/>
      <c r="Z70" s="207"/>
      <c r="AA70" s="207"/>
      <c r="AB70" s="207"/>
      <c r="AC70" s="207"/>
      <c r="AD70" s="207"/>
      <c r="AE70" s="207"/>
      <c r="AF70" s="207"/>
      <c r="AG70" s="207"/>
      <c r="AH70" s="207"/>
      <c r="AI70" s="207"/>
      <c r="AJ70" s="172"/>
    </row>
    <row r="71" spans="1:36">
      <c r="A71" s="207">
        <v>69</v>
      </c>
      <c r="B71" s="208" t="s">
        <v>96</v>
      </c>
      <c r="C71" s="209" t="s">
        <v>112</v>
      </c>
      <c r="D71" s="36" t="s">
        <v>98</v>
      </c>
      <c r="E71" s="207"/>
      <c r="F71" s="207"/>
      <c r="G71" s="207"/>
      <c r="H71" s="207"/>
      <c r="I71" s="207"/>
      <c r="J71" s="207"/>
      <c r="K71" s="207"/>
      <c r="L71" s="207"/>
      <c r="M71" s="207"/>
      <c r="N71" s="207"/>
      <c r="O71" s="207"/>
      <c r="P71" s="207"/>
      <c r="Q71" s="207"/>
      <c r="R71" s="207"/>
      <c r="S71" s="207"/>
      <c r="T71" s="207"/>
      <c r="U71" s="207"/>
      <c r="V71" s="207"/>
      <c r="W71" s="207"/>
      <c r="X71" s="207"/>
      <c r="Y71" s="207"/>
      <c r="Z71" s="207"/>
      <c r="AA71" s="207"/>
      <c r="AB71" s="207"/>
      <c r="AC71" s="207"/>
      <c r="AD71" s="207"/>
      <c r="AE71" s="207"/>
      <c r="AF71" s="207"/>
      <c r="AG71" s="207"/>
      <c r="AH71" s="207"/>
      <c r="AI71" s="207"/>
      <c r="AJ71" s="172"/>
    </row>
    <row r="72" spans="1:36">
      <c r="A72" s="207">
        <v>70</v>
      </c>
      <c r="B72" s="208" t="s">
        <v>96</v>
      </c>
      <c r="C72" s="209" t="s">
        <v>113</v>
      </c>
      <c r="D72" s="36" t="s">
        <v>98</v>
      </c>
      <c r="E72" s="207"/>
      <c r="F72" s="207"/>
      <c r="G72" s="207"/>
      <c r="H72" s="207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07"/>
      <c r="Z72" s="207"/>
      <c r="AA72" s="207"/>
      <c r="AB72" s="207"/>
      <c r="AC72" s="207"/>
      <c r="AD72" s="207"/>
      <c r="AE72" s="207"/>
      <c r="AF72" s="207"/>
      <c r="AG72" s="207"/>
      <c r="AH72" s="207"/>
      <c r="AI72" s="207"/>
      <c r="AJ72" s="172"/>
    </row>
    <row r="73" spans="1:36">
      <c r="A73" s="207">
        <v>71</v>
      </c>
      <c r="B73" s="208" t="s">
        <v>96</v>
      </c>
      <c r="C73" s="209" t="s">
        <v>114</v>
      </c>
      <c r="D73" s="36" t="s">
        <v>98</v>
      </c>
      <c r="E73" s="207"/>
      <c r="F73" s="207"/>
      <c r="G73" s="207"/>
      <c r="H73" s="207"/>
      <c r="I73" s="207"/>
      <c r="J73" s="207"/>
      <c r="K73" s="207"/>
      <c r="L73" s="207"/>
      <c r="M73" s="207"/>
      <c r="N73" s="207"/>
      <c r="O73" s="207"/>
      <c r="P73" s="207"/>
      <c r="Q73" s="207"/>
      <c r="R73" s="207"/>
      <c r="S73" s="207"/>
      <c r="T73" s="207"/>
      <c r="U73" s="207"/>
      <c r="V73" s="207"/>
      <c r="W73" s="207"/>
      <c r="X73" s="207"/>
      <c r="Y73" s="207"/>
      <c r="Z73" s="207"/>
      <c r="AA73" s="207"/>
      <c r="AB73" s="207"/>
      <c r="AC73" s="207"/>
      <c r="AD73" s="207"/>
      <c r="AE73" s="207"/>
      <c r="AF73" s="207"/>
      <c r="AG73" s="207"/>
      <c r="AH73" s="207"/>
      <c r="AI73" s="207"/>
      <c r="AJ73" s="172"/>
    </row>
    <row r="74" spans="1:36">
      <c r="A74" s="207">
        <v>72</v>
      </c>
      <c r="B74" s="208" t="s">
        <v>96</v>
      </c>
      <c r="C74" s="209" t="s">
        <v>115</v>
      </c>
      <c r="D74" s="36" t="s">
        <v>98</v>
      </c>
      <c r="E74" s="207"/>
      <c r="F74" s="207"/>
      <c r="G74" s="207"/>
      <c r="H74" s="207"/>
      <c r="I74" s="207"/>
      <c r="J74" s="207"/>
      <c r="K74" s="207"/>
      <c r="L74" s="207"/>
      <c r="M74" s="207"/>
      <c r="N74" s="207"/>
      <c r="O74" s="207"/>
      <c r="P74" s="207"/>
      <c r="Q74" s="207"/>
      <c r="R74" s="207"/>
      <c r="S74" s="207"/>
      <c r="T74" s="207"/>
      <c r="U74" s="207"/>
      <c r="V74" s="207"/>
      <c r="W74" s="207"/>
      <c r="X74" s="207"/>
      <c r="Y74" s="207"/>
      <c r="Z74" s="207"/>
      <c r="AA74" s="207"/>
      <c r="AB74" s="207"/>
      <c r="AC74" s="207"/>
      <c r="AD74" s="207"/>
      <c r="AE74" s="207"/>
      <c r="AF74" s="207"/>
      <c r="AG74" s="207"/>
      <c r="AH74" s="207"/>
      <c r="AI74" s="207"/>
      <c r="AJ74" s="172"/>
    </row>
    <row r="75" spans="1:36">
      <c r="A75" s="207">
        <v>73</v>
      </c>
      <c r="B75" s="208" t="s">
        <v>116</v>
      </c>
      <c r="C75" s="209" t="s">
        <v>117</v>
      </c>
      <c r="D75" s="36" t="s">
        <v>98</v>
      </c>
      <c r="E75" s="207"/>
      <c r="F75" s="207"/>
      <c r="G75" s="207"/>
      <c r="H75" s="207"/>
      <c r="I75" s="207"/>
      <c r="J75" s="207"/>
      <c r="K75" s="207"/>
      <c r="L75" s="207"/>
      <c r="M75" s="207"/>
      <c r="N75" s="207"/>
      <c r="O75" s="207"/>
      <c r="P75" s="207"/>
      <c r="Q75" s="207"/>
      <c r="R75" s="207"/>
      <c r="S75" s="207"/>
      <c r="T75" s="207"/>
      <c r="U75" s="207"/>
      <c r="V75" s="207"/>
      <c r="W75" s="207"/>
      <c r="X75" s="207"/>
      <c r="Y75" s="207"/>
      <c r="Z75" s="207"/>
      <c r="AA75" s="207"/>
      <c r="AB75" s="207"/>
      <c r="AC75" s="207"/>
      <c r="AD75" s="207"/>
      <c r="AE75" s="207"/>
      <c r="AF75" s="207"/>
      <c r="AG75" s="207"/>
      <c r="AH75" s="207"/>
      <c r="AI75" s="207"/>
      <c r="AJ75" s="172"/>
    </row>
    <row r="76" spans="1:36">
      <c r="A76" s="207">
        <v>74</v>
      </c>
      <c r="B76" s="208" t="s">
        <v>116</v>
      </c>
      <c r="C76" s="209" t="s">
        <v>118</v>
      </c>
      <c r="D76" s="36" t="s">
        <v>98</v>
      </c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7"/>
      <c r="R76" s="207"/>
      <c r="S76" s="207"/>
      <c r="T76" s="207"/>
      <c r="U76" s="207"/>
      <c r="V76" s="207"/>
      <c r="W76" s="207"/>
      <c r="X76" s="207"/>
      <c r="Y76" s="207"/>
      <c r="Z76" s="207"/>
      <c r="AA76" s="207"/>
      <c r="AB76" s="207"/>
      <c r="AC76" s="207"/>
      <c r="AD76" s="207"/>
      <c r="AE76" s="207"/>
      <c r="AF76" s="207"/>
      <c r="AG76" s="207"/>
      <c r="AH76" s="207"/>
      <c r="AI76" s="207"/>
      <c r="AJ76" s="172"/>
    </row>
    <row r="77" spans="1:36">
      <c r="A77" s="207">
        <v>75</v>
      </c>
      <c r="B77" s="208" t="s">
        <v>116</v>
      </c>
      <c r="C77" s="209" t="s">
        <v>119</v>
      </c>
      <c r="D77" s="36" t="s">
        <v>98</v>
      </c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7"/>
      <c r="R77" s="207"/>
      <c r="S77" s="207"/>
      <c r="T77" s="207"/>
      <c r="U77" s="207"/>
      <c r="V77" s="207"/>
      <c r="W77" s="207"/>
      <c r="X77" s="207"/>
      <c r="Y77" s="207"/>
      <c r="Z77" s="207"/>
      <c r="AA77" s="207"/>
      <c r="AB77" s="207"/>
      <c r="AC77" s="207"/>
      <c r="AD77" s="207"/>
      <c r="AE77" s="207"/>
      <c r="AF77" s="207"/>
      <c r="AG77" s="207"/>
      <c r="AH77" s="207"/>
      <c r="AI77" s="207"/>
      <c r="AJ77" s="172"/>
    </row>
    <row r="78" spans="1:36">
      <c r="A78" s="207">
        <v>76</v>
      </c>
      <c r="B78" s="208" t="s">
        <v>116</v>
      </c>
      <c r="C78" s="209" t="s">
        <v>121</v>
      </c>
      <c r="D78" s="36" t="s">
        <v>98</v>
      </c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7"/>
      <c r="R78" s="207"/>
      <c r="S78" s="207"/>
      <c r="T78" s="207"/>
      <c r="U78" s="207"/>
      <c r="V78" s="207"/>
      <c r="W78" s="207"/>
      <c r="X78" s="207"/>
      <c r="Y78" s="207"/>
      <c r="Z78" s="207"/>
      <c r="AA78" s="207"/>
      <c r="AB78" s="207"/>
      <c r="AC78" s="207"/>
      <c r="AD78" s="207"/>
      <c r="AE78" s="207"/>
      <c r="AF78" s="207"/>
      <c r="AG78" s="207"/>
      <c r="AH78" s="207"/>
      <c r="AI78" s="207"/>
      <c r="AJ78" s="172"/>
    </row>
    <row r="79" spans="1:36">
      <c r="A79" s="207">
        <v>77</v>
      </c>
      <c r="B79" s="208" t="s">
        <v>116</v>
      </c>
      <c r="C79" s="209" t="s">
        <v>123</v>
      </c>
      <c r="D79" s="36" t="s">
        <v>98</v>
      </c>
      <c r="E79" s="207"/>
      <c r="F79" s="207"/>
      <c r="G79" s="207"/>
      <c r="H79" s="207"/>
      <c r="I79" s="207"/>
      <c r="J79" s="207"/>
      <c r="K79" s="207"/>
      <c r="L79" s="207"/>
      <c r="M79" s="207"/>
      <c r="N79" s="207"/>
      <c r="O79" s="207"/>
      <c r="P79" s="207"/>
      <c r="Q79" s="207"/>
      <c r="R79" s="207"/>
      <c r="S79" s="207"/>
      <c r="T79" s="207"/>
      <c r="U79" s="207"/>
      <c r="V79" s="207"/>
      <c r="W79" s="207"/>
      <c r="X79" s="207"/>
      <c r="Y79" s="207"/>
      <c r="Z79" s="207"/>
      <c r="AA79" s="207"/>
      <c r="AB79" s="207"/>
      <c r="AC79" s="207"/>
      <c r="AD79" s="207"/>
      <c r="AE79" s="207"/>
      <c r="AF79" s="207"/>
      <c r="AG79" s="207"/>
      <c r="AH79" s="207"/>
      <c r="AI79" s="207"/>
      <c r="AJ79" s="172"/>
    </row>
    <row r="80" spans="1:36">
      <c r="A80" s="207">
        <v>78</v>
      </c>
      <c r="B80" s="208" t="s">
        <v>116</v>
      </c>
      <c r="C80" s="209" t="s">
        <v>125</v>
      </c>
      <c r="D80" s="36" t="s">
        <v>98</v>
      </c>
      <c r="E80" s="207"/>
      <c r="F80" s="207"/>
      <c r="G80" s="207"/>
      <c r="H80" s="207"/>
      <c r="I80" s="207"/>
      <c r="J80" s="207"/>
      <c r="K80" s="207"/>
      <c r="L80" s="207"/>
      <c r="M80" s="207"/>
      <c r="N80" s="207"/>
      <c r="O80" s="207"/>
      <c r="P80" s="207"/>
      <c r="Q80" s="207"/>
      <c r="R80" s="207"/>
      <c r="S80" s="207"/>
      <c r="T80" s="207"/>
      <c r="U80" s="207"/>
      <c r="V80" s="207"/>
      <c r="W80" s="207"/>
      <c r="X80" s="207"/>
      <c r="Y80" s="207"/>
      <c r="Z80" s="207"/>
      <c r="AA80" s="207"/>
      <c r="AB80" s="207"/>
      <c r="AC80" s="207"/>
      <c r="AD80" s="207"/>
      <c r="AE80" s="207"/>
      <c r="AF80" s="207"/>
      <c r="AG80" s="207"/>
      <c r="AH80" s="207"/>
      <c r="AI80" s="207"/>
      <c r="AJ80" s="172"/>
    </row>
    <row r="81" spans="1:36">
      <c r="A81" s="207">
        <v>79</v>
      </c>
      <c r="B81" s="208" t="s">
        <v>116</v>
      </c>
      <c r="C81" s="209" t="s">
        <v>127</v>
      </c>
      <c r="D81" s="36" t="s">
        <v>98</v>
      </c>
      <c r="E81" s="207"/>
      <c r="F81" s="207"/>
      <c r="G81" s="207"/>
      <c r="H81" s="207"/>
      <c r="I81" s="207"/>
      <c r="J81" s="207"/>
      <c r="K81" s="207"/>
      <c r="L81" s="207"/>
      <c r="M81" s="207"/>
      <c r="N81" s="207"/>
      <c r="O81" s="207"/>
      <c r="P81" s="207"/>
      <c r="Q81" s="207"/>
      <c r="R81" s="207"/>
      <c r="S81" s="207"/>
      <c r="T81" s="207"/>
      <c r="U81" s="207"/>
      <c r="V81" s="207"/>
      <c r="W81" s="207"/>
      <c r="X81" s="207"/>
      <c r="Y81" s="207"/>
      <c r="Z81" s="207"/>
      <c r="AA81" s="207"/>
      <c r="AB81" s="207"/>
      <c r="AC81" s="207"/>
      <c r="AD81" s="207"/>
      <c r="AE81" s="207"/>
      <c r="AF81" s="207"/>
      <c r="AG81" s="207"/>
      <c r="AH81" s="207"/>
      <c r="AI81" s="207"/>
      <c r="AJ81" s="172"/>
    </row>
    <row r="82" spans="1:36">
      <c r="A82" s="207">
        <v>80</v>
      </c>
      <c r="B82" s="208" t="s">
        <v>116</v>
      </c>
      <c r="C82" s="209" t="s">
        <v>129</v>
      </c>
      <c r="D82" s="36" t="s">
        <v>98</v>
      </c>
      <c r="E82" s="207"/>
      <c r="F82" s="207"/>
      <c r="G82" s="207"/>
      <c r="H82" s="207"/>
      <c r="I82" s="207"/>
      <c r="J82" s="207"/>
      <c r="K82" s="207"/>
      <c r="L82" s="207"/>
      <c r="M82" s="207"/>
      <c r="N82" s="207"/>
      <c r="O82" s="207"/>
      <c r="P82" s="207"/>
      <c r="Q82" s="207"/>
      <c r="R82" s="207"/>
      <c r="S82" s="207"/>
      <c r="T82" s="207"/>
      <c r="U82" s="207"/>
      <c r="V82" s="207"/>
      <c r="W82" s="207"/>
      <c r="X82" s="207"/>
      <c r="Y82" s="207"/>
      <c r="Z82" s="207"/>
      <c r="AA82" s="207"/>
      <c r="AB82" s="207"/>
      <c r="AC82" s="207"/>
      <c r="AD82" s="207"/>
      <c r="AE82" s="207"/>
      <c r="AF82" s="207"/>
      <c r="AG82" s="207"/>
      <c r="AH82" s="207"/>
      <c r="AI82" s="207"/>
      <c r="AJ82" s="172"/>
    </row>
    <row r="83" spans="1:36">
      <c r="A83" s="207">
        <v>81</v>
      </c>
      <c r="B83" s="208" t="s">
        <v>116</v>
      </c>
      <c r="C83" s="209" t="s">
        <v>130</v>
      </c>
      <c r="D83" s="36" t="s">
        <v>98</v>
      </c>
      <c r="E83" s="207"/>
      <c r="F83" s="207"/>
      <c r="G83" s="207"/>
      <c r="H83" s="207"/>
      <c r="I83" s="207"/>
      <c r="J83" s="207"/>
      <c r="K83" s="207"/>
      <c r="L83" s="207"/>
      <c r="M83" s="207"/>
      <c r="N83" s="207"/>
      <c r="O83" s="207"/>
      <c r="P83" s="207"/>
      <c r="Q83" s="207"/>
      <c r="R83" s="207"/>
      <c r="S83" s="207"/>
      <c r="T83" s="207"/>
      <c r="U83" s="207"/>
      <c r="V83" s="207"/>
      <c r="W83" s="207"/>
      <c r="X83" s="207"/>
      <c r="Y83" s="207"/>
      <c r="Z83" s="207"/>
      <c r="AA83" s="207"/>
      <c r="AB83" s="207"/>
      <c r="AC83" s="207"/>
      <c r="AD83" s="207"/>
      <c r="AE83" s="207"/>
      <c r="AF83" s="207"/>
      <c r="AG83" s="207"/>
      <c r="AH83" s="207"/>
      <c r="AI83" s="207"/>
      <c r="AJ83" s="172"/>
    </row>
    <row r="84" spans="1:36">
      <c r="A84" s="207">
        <v>82</v>
      </c>
      <c r="B84" s="208" t="s">
        <v>116</v>
      </c>
      <c r="C84" s="209" t="s">
        <v>131</v>
      </c>
      <c r="D84" s="36" t="s">
        <v>98</v>
      </c>
      <c r="E84" s="207"/>
      <c r="F84" s="207"/>
      <c r="G84" s="207"/>
      <c r="H84" s="207"/>
      <c r="I84" s="207"/>
      <c r="J84" s="207"/>
      <c r="K84" s="207"/>
      <c r="L84" s="207"/>
      <c r="M84" s="207"/>
      <c r="N84" s="207"/>
      <c r="O84" s="207"/>
      <c r="P84" s="207"/>
      <c r="Q84" s="207"/>
      <c r="R84" s="207"/>
      <c r="S84" s="207"/>
      <c r="T84" s="207"/>
      <c r="U84" s="207"/>
      <c r="V84" s="207"/>
      <c r="W84" s="207"/>
      <c r="X84" s="207"/>
      <c r="Y84" s="207"/>
      <c r="Z84" s="207"/>
      <c r="AA84" s="207"/>
      <c r="AB84" s="207"/>
      <c r="AC84" s="207"/>
      <c r="AD84" s="207"/>
      <c r="AE84" s="207"/>
      <c r="AF84" s="207"/>
      <c r="AG84" s="207"/>
      <c r="AH84" s="207"/>
      <c r="AI84" s="207"/>
      <c r="AJ84" s="172"/>
    </row>
    <row r="85" spans="1:36">
      <c r="A85" s="207">
        <v>83</v>
      </c>
      <c r="B85" s="208" t="s">
        <v>116</v>
      </c>
      <c r="C85" s="209" t="s">
        <v>132</v>
      </c>
      <c r="D85" s="36" t="s">
        <v>98</v>
      </c>
      <c r="E85" s="207"/>
      <c r="F85" s="207"/>
      <c r="G85" s="207"/>
      <c r="H85" s="207"/>
      <c r="I85" s="207"/>
      <c r="J85" s="207"/>
      <c r="K85" s="207"/>
      <c r="L85" s="207"/>
      <c r="M85" s="207"/>
      <c r="N85" s="207"/>
      <c r="O85" s="207"/>
      <c r="P85" s="207"/>
      <c r="Q85" s="207"/>
      <c r="R85" s="207"/>
      <c r="S85" s="207"/>
      <c r="T85" s="207"/>
      <c r="U85" s="207"/>
      <c r="V85" s="207"/>
      <c r="W85" s="207"/>
      <c r="X85" s="207"/>
      <c r="Y85" s="207"/>
      <c r="Z85" s="207"/>
      <c r="AA85" s="207"/>
      <c r="AB85" s="207"/>
      <c r="AC85" s="207"/>
      <c r="AD85" s="207"/>
      <c r="AE85" s="207"/>
      <c r="AF85" s="207"/>
      <c r="AG85" s="207"/>
      <c r="AH85" s="207"/>
      <c r="AI85" s="207"/>
      <c r="AJ85" s="172"/>
    </row>
    <row r="86" spans="1:36">
      <c r="A86" s="207">
        <v>84</v>
      </c>
      <c r="B86" s="208" t="s">
        <v>116</v>
      </c>
      <c r="C86" s="209" t="s">
        <v>133</v>
      </c>
      <c r="D86" s="36" t="s">
        <v>98</v>
      </c>
      <c r="E86" s="207"/>
      <c r="F86" s="207"/>
      <c r="G86" s="207"/>
      <c r="H86" s="207"/>
      <c r="I86" s="207"/>
      <c r="J86" s="207"/>
      <c r="K86" s="207"/>
      <c r="L86" s="207"/>
      <c r="M86" s="207"/>
      <c r="N86" s="207"/>
      <c r="O86" s="207"/>
      <c r="P86" s="207"/>
      <c r="Q86" s="207"/>
      <c r="R86" s="207"/>
      <c r="S86" s="207"/>
      <c r="T86" s="207"/>
      <c r="U86" s="207"/>
      <c r="V86" s="207"/>
      <c r="W86" s="207"/>
      <c r="X86" s="207"/>
      <c r="Y86" s="207"/>
      <c r="Z86" s="207"/>
      <c r="AA86" s="207"/>
      <c r="AB86" s="207"/>
      <c r="AC86" s="207"/>
      <c r="AD86" s="207"/>
      <c r="AE86" s="207"/>
      <c r="AF86" s="207"/>
      <c r="AG86" s="207"/>
      <c r="AH86" s="207"/>
      <c r="AI86" s="207"/>
      <c r="AJ86" s="172"/>
    </row>
    <row r="87" spans="1:36">
      <c r="A87" s="207">
        <v>85</v>
      </c>
      <c r="B87" s="208" t="s">
        <v>116</v>
      </c>
      <c r="C87" s="209" t="s">
        <v>134</v>
      </c>
      <c r="D87" s="36" t="s">
        <v>98</v>
      </c>
      <c r="E87" s="207"/>
      <c r="F87" s="207"/>
      <c r="G87" s="207"/>
      <c r="H87" s="207"/>
      <c r="I87" s="207"/>
      <c r="J87" s="207"/>
      <c r="K87" s="207"/>
      <c r="L87" s="207"/>
      <c r="M87" s="207"/>
      <c r="N87" s="207"/>
      <c r="O87" s="207"/>
      <c r="P87" s="207"/>
      <c r="Q87" s="207"/>
      <c r="R87" s="207"/>
      <c r="S87" s="207"/>
      <c r="T87" s="207"/>
      <c r="U87" s="207"/>
      <c r="V87" s="207"/>
      <c r="W87" s="207"/>
      <c r="X87" s="207"/>
      <c r="Y87" s="207"/>
      <c r="Z87" s="207"/>
      <c r="AA87" s="207"/>
      <c r="AB87" s="207"/>
      <c r="AC87" s="207"/>
      <c r="AD87" s="207"/>
      <c r="AE87" s="207"/>
      <c r="AF87" s="207"/>
      <c r="AG87" s="207"/>
      <c r="AH87" s="207"/>
      <c r="AI87" s="207"/>
      <c r="AJ87" s="172"/>
    </row>
    <row r="88" spans="1:36">
      <c r="A88" s="207">
        <v>86</v>
      </c>
      <c r="B88" s="208" t="s">
        <v>116</v>
      </c>
      <c r="C88" s="209" t="s">
        <v>135</v>
      </c>
      <c r="D88" s="36" t="s">
        <v>98</v>
      </c>
      <c r="E88" s="207"/>
      <c r="F88" s="207"/>
      <c r="G88" s="207"/>
      <c r="H88" s="207"/>
      <c r="I88" s="207"/>
      <c r="J88" s="207"/>
      <c r="K88" s="207"/>
      <c r="L88" s="207"/>
      <c r="M88" s="207"/>
      <c r="N88" s="207"/>
      <c r="O88" s="207"/>
      <c r="P88" s="207"/>
      <c r="Q88" s="207"/>
      <c r="R88" s="207"/>
      <c r="S88" s="207"/>
      <c r="T88" s="207"/>
      <c r="U88" s="207"/>
      <c r="V88" s="207"/>
      <c r="W88" s="207"/>
      <c r="X88" s="207"/>
      <c r="Y88" s="207"/>
      <c r="Z88" s="207"/>
      <c r="AA88" s="207"/>
      <c r="AB88" s="207"/>
      <c r="AC88" s="207"/>
      <c r="AD88" s="207"/>
      <c r="AE88" s="207"/>
      <c r="AF88" s="207"/>
      <c r="AG88" s="207"/>
      <c r="AH88" s="207"/>
      <c r="AI88" s="207"/>
      <c r="AJ88" s="172"/>
    </row>
    <row r="89" spans="1:36">
      <c r="A89" s="207">
        <v>87</v>
      </c>
      <c r="B89" s="208" t="s">
        <v>136</v>
      </c>
      <c r="C89" s="209" t="s">
        <v>137</v>
      </c>
      <c r="D89" s="36" t="s">
        <v>27</v>
      </c>
      <c r="E89" s="207"/>
      <c r="F89" s="207"/>
      <c r="G89" s="207"/>
      <c r="H89" s="207"/>
      <c r="I89" s="207"/>
      <c r="J89" s="207"/>
      <c r="K89" s="207"/>
      <c r="L89" s="207"/>
      <c r="M89" s="207"/>
      <c r="N89" s="207"/>
      <c r="O89" s="207"/>
      <c r="P89" s="207"/>
      <c r="Q89" s="207"/>
      <c r="R89" s="207"/>
      <c r="S89" s="207"/>
      <c r="T89" s="207"/>
      <c r="U89" s="207"/>
      <c r="V89" s="207"/>
      <c r="W89" s="207"/>
      <c r="X89" s="207"/>
      <c r="Y89" s="207"/>
      <c r="Z89" s="207"/>
      <c r="AA89" s="207"/>
      <c r="AB89" s="207"/>
      <c r="AC89" s="207"/>
      <c r="AD89" s="207"/>
      <c r="AE89" s="207"/>
      <c r="AF89" s="207"/>
      <c r="AG89" s="207"/>
      <c r="AH89" s="207"/>
      <c r="AI89" s="207"/>
      <c r="AJ89" s="172"/>
    </row>
    <row r="90" spans="1:36">
      <c r="A90" s="207">
        <v>88</v>
      </c>
      <c r="B90" s="208" t="s">
        <v>136</v>
      </c>
      <c r="C90" s="209" t="s">
        <v>138</v>
      </c>
      <c r="D90" s="36" t="s">
        <v>27</v>
      </c>
      <c r="E90" s="207"/>
      <c r="F90" s="207"/>
      <c r="G90" s="207"/>
      <c r="H90" s="207"/>
      <c r="I90" s="207"/>
      <c r="J90" s="207"/>
      <c r="K90" s="207"/>
      <c r="L90" s="207"/>
      <c r="M90" s="207"/>
      <c r="N90" s="207"/>
      <c r="O90" s="207"/>
      <c r="P90" s="207"/>
      <c r="Q90" s="207"/>
      <c r="R90" s="207"/>
      <c r="S90" s="207"/>
      <c r="T90" s="207"/>
      <c r="U90" s="207"/>
      <c r="V90" s="207"/>
      <c r="W90" s="207"/>
      <c r="X90" s="207"/>
      <c r="Y90" s="207"/>
      <c r="Z90" s="207"/>
      <c r="AA90" s="207"/>
      <c r="AB90" s="207"/>
      <c r="AC90" s="207"/>
      <c r="AD90" s="207"/>
      <c r="AE90" s="207"/>
      <c r="AF90" s="207"/>
      <c r="AG90" s="207"/>
      <c r="AH90" s="207"/>
      <c r="AI90" s="207"/>
      <c r="AJ90" s="172"/>
    </row>
    <row r="91" spans="1:36">
      <c r="A91" s="207">
        <v>89</v>
      </c>
      <c r="B91" s="208" t="s">
        <v>136</v>
      </c>
      <c r="C91" s="209" t="s">
        <v>139</v>
      </c>
      <c r="D91" s="36" t="s">
        <v>27</v>
      </c>
      <c r="E91" s="207"/>
      <c r="F91" s="207"/>
      <c r="G91" s="207"/>
      <c r="H91" s="207"/>
      <c r="I91" s="207"/>
      <c r="J91" s="207"/>
      <c r="K91" s="207"/>
      <c r="L91" s="207"/>
      <c r="M91" s="207"/>
      <c r="N91" s="207"/>
      <c r="O91" s="207"/>
      <c r="P91" s="207"/>
      <c r="Q91" s="207"/>
      <c r="R91" s="207"/>
      <c r="S91" s="207"/>
      <c r="T91" s="207"/>
      <c r="U91" s="207"/>
      <c r="V91" s="207"/>
      <c r="W91" s="207"/>
      <c r="X91" s="207"/>
      <c r="Y91" s="207"/>
      <c r="Z91" s="207"/>
      <c r="AA91" s="207"/>
      <c r="AB91" s="207"/>
      <c r="AC91" s="207"/>
      <c r="AD91" s="207"/>
      <c r="AE91" s="207"/>
      <c r="AF91" s="207"/>
      <c r="AG91" s="207"/>
      <c r="AH91" s="207"/>
      <c r="AI91" s="207"/>
      <c r="AJ91" s="172"/>
    </row>
    <row r="92" spans="1:36">
      <c r="A92" s="207">
        <v>90</v>
      </c>
      <c r="B92" s="208" t="s">
        <v>136</v>
      </c>
      <c r="C92" s="209" t="s">
        <v>140</v>
      </c>
      <c r="D92" s="36" t="s">
        <v>27</v>
      </c>
      <c r="E92" s="207"/>
      <c r="F92" s="207"/>
      <c r="G92" s="207"/>
      <c r="H92" s="207"/>
      <c r="I92" s="207"/>
      <c r="J92" s="207"/>
      <c r="K92" s="207"/>
      <c r="L92" s="207"/>
      <c r="M92" s="207"/>
      <c r="N92" s="207"/>
      <c r="O92" s="207"/>
      <c r="P92" s="207"/>
      <c r="Q92" s="207"/>
      <c r="R92" s="207"/>
      <c r="S92" s="207"/>
      <c r="T92" s="207"/>
      <c r="U92" s="207"/>
      <c r="V92" s="207"/>
      <c r="W92" s="207"/>
      <c r="X92" s="207"/>
      <c r="Y92" s="207"/>
      <c r="Z92" s="207"/>
      <c r="AA92" s="207"/>
      <c r="AB92" s="207"/>
      <c r="AC92" s="207"/>
      <c r="AD92" s="207"/>
      <c r="AE92" s="207"/>
      <c r="AF92" s="207"/>
      <c r="AG92" s="207"/>
      <c r="AH92" s="207"/>
      <c r="AI92" s="207"/>
      <c r="AJ92" s="172"/>
    </row>
    <row r="93" spans="1:36">
      <c r="A93" s="207">
        <v>91</v>
      </c>
      <c r="B93" s="208" t="s">
        <v>136</v>
      </c>
      <c r="C93" s="209" t="s">
        <v>141</v>
      </c>
      <c r="D93" s="36" t="s">
        <v>27</v>
      </c>
      <c r="E93" s="207"/>
      <c r="F93" s="207"/>
      <c r="G93" s="207"/>
      <c r="H93" s="207"/>
      <c r="I93" s="207"/>
      <c r="J93" s="207"/>
      <c r="K93" s="207"/>
      <c r="L93" s="207"/>
      <c r="M93" s="207"/>
      <c r="N93" s="207"/>
      <c r="O93" s="207"/>
      <c r="P93" s="207"/>
      <c r="Q93" s="207"/>
      <c r="R93" s="207"/>
      <c r="S93" s="207"/>
      <c r="T93" s="207"/>
      <c r="U93" s="207"/>
      <c r="V93" s="207"/>
      <c r="W93" s="207"/>
      <c r="X93" s="207"/>
      <c r="Y93" s="207"/>
      <c r="Z93" s="207"/>
      <c r="AA93" s="207"/>
      <c r="AB93" s="207"/>
      <c r="AC93" s="207"/>
      <c r="AD93" s="207"/>
      <c r="AE93" s="207"/>
      <c r="AF93" s="207"/>
      <c r="AG93" s="207"/>
      <c r="AH93" s="207"/>
      <c r="AI93" s="207"/>
      <c r="AJ93" s="172"/>
    </row>
    <row r="94" spans="1:36">
      <c r="A94" s="207">
        <v>92</v>
      </c>
      <c r="B94" s="208" t="s">
        <v>136</v>
      </c>
      <c r="C94" s="209" t="s">
        <v>142</v>
      </c>
      <c r="D94" s="36" t="s">
        <v>27</v>
      </c>
      <c r="E94" s="207"/>
      <c r="F94" s="207"/>
      <c r="G94" s="207"/>
      <c r="H94" s="207"/>
      <c r="I94" s="207"/>
      <c r="J94" s="207"/>
      <c r="K94" s="207"/>
      <c r="L94" s="207"/>
      <c r="M94" s="207"/>
      <c r="N94" s="207"/>
      <c r="O94" s="207"/>
      <c r="P94" s="207"/>
      <c r="Q94" s="207"/>
      <c r="R94" s="207"/>
      <c r="S94" s="207"/>
      <c r="T94" s="207"/>
      <c r="U94" s="207"/>
      <c r="V94" s="207"/>
      <c r="W94" s="207"/>
      <c r="X94" s="207"/>
      <c r="Y94" s="207"/>
      <c r="Z94" s="207"/>
      <c r="AA94" s="207"/>
      <c r="AB94" s="207"/>
      <c r="AC94" s="207"/>
      <c r="AD94" s="207"/>
      <c r="AE94" s="207"/>
      <c r="AF94" s="207"/>
      <c r="AG94" s="207"/>
      <c r="AH94" s="207"/>
      <c r="AI94" s="207"/>
      <c r="AJ94" s="172"/>
    </row>
    <row r="95" spans="1:36">
      <c r="A95" s="207">
        <v>93</v>
      </c>
      <c r="B95" s="208" t="s">
        <v>136</v>
      </c>
      <c r="C95" s="209" t="s">
        <v>143</v>
      </c>
      <c r="D95" s="36" t="s">
        <v>27</v>
      </c>
      <c r="E95" s="207"/>
      <c r="F95" s="207"/>
      <c r="G95" s="207"/>
      <c r="H95" s="207"/>
      <c r="I95" s="207"/>
      <c r="J95" s="207"/>
      <c r="K95" s="207"/>
      <c r="L95" s="207"/>
      <c r="M95" s="207"/>
      <c r="N95" s="207"/>
      <c r="O95" s="207"/>
      <c r="P95" s="207"/>
      <c r="Q95" s="207"/>
      <c r="R95" s="207"/>
      <c r="S95" s="207"/>
      <c r="T95" s="207"/>
      <c r="U95" s="207"/>
      <c r="V95" s="207"/>
      <c r="W95" s="207"/>
      <c r="X95" s="207"/>
      <c r="Y95" s="207"/>
      <c r="Z95" s="207"/>
      <c r="AA95" s="207"/>
      <c r="AB95" s="207"/>
      <c r="AC95" s="207"/>
      <c r="AD95" s="207"/>
      <c r="AE95" s="207"/>
      <c r="AF95" s="207"/>
      <c r="AG95" s="207"/>
      <c r="AH95" s="207"/>
      <c r="AI95" s="207"/>
      <c r="AJ95" s="172"/>
    </row>
    <row r="96" spans="1:36">
      <c r="A96" s="207">
        <v>94</v>
      </c>
      <c r="B96" s="208" t="s">
        <v>144</v>
      </c>
      <c r="C96" s="209" t="s">
        <v>145</v>
      </c>
      <c r="D96" s="36" t="s">
        <v>27</v>
      </c>
      <c r="E96" s="207"/>
      <c r="F96" s="207"/>
      <c r="G96" s="207"/>
      <c r="H96" s="207"/>
      <c r="I96" s="207"/>
      <c r="J96" s="207"/>
      <c r="K96" s="207"/>
      <c r="L96" s="207"/>
      <c r="M96" s="207"/>
      <c r="N96" s="207"/>
      <c r="O96" s="207"/>
      <c r="P96" s="207"/>
      <c r="Q96" s="207"/>
      <c r="R96" s="207"/>
      <c r="S96" s="207"/>
      <c r="T96" s="207"/>
      <c r="U96" s="207"/>
      <c r="V96" s="207"/>
      <c r="W96" s="207"/>
      <c r="X96" s="207"/>
      <c r="Y96" s="207"/>
      <c r="Z96" s="207"/>
      <c r="AA96" s="207"/>
      <c r="AB96" s="207"/>
      <c r="AC96" s="207"/>
      <c r="AD96" s="207"/>
      <c r="AE96" s="207"/>
      <c r="AF96" s="207"/>
      <c r="AG96" s="207"/>
      <c r="AH96" s="207"/>
      <c r="AI96" s="207"/>
      <c r="AJ96" s="172"/>
    </row>
    <row r="97" spans="1:36">
      <c r="A97" s="207">
        <v>95</v>
      </c>
      <c r="B97" s="208" t="s">
        <v>144</v>
      </c>
      <c r="C97" s="209" t="s">
        <v>146</v>
      </c>
      <c r="D97" s="36" t="s">
        <v>27</v>
      </c>
      <c r="E97" s="207"/>
      <c r="F97" s="207"/>
      <c r="G97" s="207"/>
      <c r="H97" s="207"/>
      <c r="I97" s="207"/>
      <c r="J97" s="207"/>
      <c r="K97" s="207"/>
      <c r="L97" s="207"/>
      <c r="M97" s="207"/>
      <c r="N97" s="207"/>
      <c r="O97" s="207"/>
      <c r="P97" s="207"/>
      <c r="Q97" s="207"/>
      <c r="R97" s="207"/>
      <c r="S97" s="207"/>
      <c r="T97" s="207"/>
      <c r="U97" s="207"/>
      <c r="V97" s="207"/>
      <c r="W97" s="207"/>
      <c r="X97" s="207"/>
      <c r="Y97" s="207"/>
      <c r="Z97" s="207"/>
      <c r="AA97" s="207"/>
      <c r="AB97" s="207"/>
      <c r="AC97" s="207"/>
      <c r="AD97" s="207"/>
      <c r="AE97" s="207"/>
      <c r="AF97" s="207"/>
      <c r="AG97" s="207"/>
      <c r="AH97" s="207"/>
      <c r="AI97" s="207"/>
      <c r="AJ97" s="172"/>
    </row>
    <row r="98" spans="1:36">
      <c r="A98" s="207">
        <v>96</v>
      </c>
      <c r="B98" s="208" t="s">
        <v>144</v>
      </c>
      <c r="C98" s="209" t="s">
        <v>147</v>
      </c>
      <c r="D98" s="36" t="s">
        <v>27</v>
      </c>
      <c r="E98" s="207"/>
      <c r="F98" s="207"/>
      <c r="G98" s="207"/>
      <c r="H98" s="207"/>
      <c r="I98" s="207"/>
      <c r="J98" s="207"/>
      <c r="K98" s="207"/>
      <c r="L98" s="207"/>
      <c r="M98" s="207"/>
      <c r="N98" s="207"/>
      <c r="O98" s="207"/>
      <c r="P98" s="207"/>
      <c r="Q98" s="207"/>
      <c r="R98" s="207"/>
      <c r="S98" s="207"/>
      <c r="T98" s="207"/>
      <c r="U98" s="207"/>
      <c r="V98" s="207"/>
      <c r="W98" s="207"/>
      <c r="X98" s="207"/>
      <c r="Y98" s="207"/>
      <c r="Z98" s="207"/>
      <c r="AA98" s="207"/>
      <c r="AB98" s="207"/>
      <c r="AC98" s="207"/>
      <c r="AD98" s="207"/>
      <c r="AE98" s="207"/>
      <c r="AF98" s="207"/>
      <c r="AG98" s="207"/>
      <c r="AH98" s="207"/>
      <c r="AI98" s="207"/>
      <c r="AJ98" s="172"/>
    </row>
    <row r="99" spans="1:36">
      <c r="A99" s="207">
        <v>97</v>
      </c>
      <c r="B99" s="208" t="s">
        <v>144</v>
      </c>
      <c r="C99" s="209" t="s">
        <v>148</v>
      </c>
      <c r="D99" s="36" t="s">
        <v>27</v>
      </c>
      <c r="E99" s="207"/>
      <c r="F99" s="207"/>
      <c r="G99" s="207"/>
      <c r="H99" s="207"/>
      <c r="I99" s="207"/>
      <c r="J99" s="207"/>
      <c r="K99" s="207"/>
      <c r="L99" s="207"/>
      <c r="M99" s="207"/>
      <c r="N99" s="207"/>
      <c r="O99" s="207"/>
      <c r="P99" s="207"/>
      <c r="Q99" s="207"/>
      <c r="R99" s="207"/>
      <c r="S99" s="207"/>
      <c r="T99" s="207"/>
      <c r="U99" s="207"/>
      <c r="V99" s="207"/>
      <c r="W99" s="207"/>
      <c r="X99" s="207"/>
      <c r="Y99" s="207"/>
      <c r="Z99" s="207"/>
      <c r="AA99" s="207"/>
      <c r="AB99" s="207"/>
      <c r="AC99" s="207"/>
      <c r="AD99" s="207"/>
      <c r="AE99" s="207"/>
      <c r="AF99" s="207"/>
      <c r="AG99" s="207"/>
      <c r="AH99" s="207"/>
      <c r="AI99" s="207"/>
      <c r="AJ99" s="172"/>
    </row>
    <row r="100" spans="1:36">
      <c r="A100" s="207">
        <v>98</v>
      </c>
      <c r="B100" s="208" t="s">
        <v>144</v>
      </c>
      <c r="C100" s="209" t="s">
        <v>149</v>
      </c>
      <c r="D100" s="36" t="s">
        <v>27</v>
      </c>
      <c r="E100" s="207"/>
      <c r="F100" s="207"/>
      <c r="G100" s="207"/>
      <c r="H100" s="207"/>
      <c r="I100" s="207"/>
      <c r="J100" s="207"/>
      <c r="K100" s="207"/>
      <c r="L100" s="207"/>
      <c r="M100" s="207"/>
      <c r="N100" s="207"/>
      <c r="O100" s="207"/>
      <c r="P100" s="207"/>
      <c r="Q100" s="207"/>
      <c r="R100" s="207"/>
      <c r="S100" s="207"/>
      <c r="T100" s="207"/>
      <c r="U100" s="207"/>
      <c r="V100" s="207"/>
      <c r="W100" s="207"/>
      <c r="X100" s="207"/>
      <c r="Y100" s="207"/>
      <c r="Z100" s="207"/>
      <c r="AA100" s="207"/>
      <c r="AB100" s="207"/>
      <c r="AC100" s="207"/>
      <c r="AD100" s="207"/>
      <c r="AE100" s="207"/>
      <c r="AF100" s="207"/>
      <c r="AG100" s="207"/>
      <c r="AH100" s="207"/>
      <c r="AI100" s="207"/>
      <c r="AJ100" s="172"/>
    </row>
    <row r="101" spans="1:36">
      <c r="A101" s="207">
        <v>99</v>
      </c>
      <c r="B101" s="208" t="s">
        <v>144</v>
      </c>
      <c r="C101" s="209" t="s">
        <v>150</v>
      </c>
      <c r="D101" s="36" t="s">
        <v>27</v>
      </c>
      <c r="E101" s="207"/>
      <c r="F101" s="207"/>
      <c r="G101" s="207"/>
      <c r="H101" s="207"/>
      <c r="I101" s="207"/>
      <c r="J101" s="207"/>
      <c r="K101" s="207"/>
      <c r="L101" s="207"/>
      <c r="M101" s="207"/>
      <c r="N101" s="207"/>
      <c r="O101" s="207"/>
      <c r="P101" s="207"/>
      <c r="Q101" s="207"/>
      <c r="R101" s="207"/>
      <c r="S101" s="207"/>
      <c r="T101" s="207"/>
      <c r="U101" s="207"/>
      <c r="V101" s="207"/>
      <c r="W101" s="207"/>
      <c r="X101" s="207"/>
      <c r="Y101" s="207"/>
      <c r="Z101" s="207"/>
      <c r="AA101" s="207"/>
      <c r="AB101" s="207"/>
      <c r="AC101" s="207"/>
      <c r="AD101" s="207"/>
      <c r="AE101" s="207"/>
      <c r="AF101" s="207"/>
      <c r="AG101" s="207"/>
      <c r="AH101" s="207"/>
      <c r="AI101" s="207"/>
      <c r="AJ101" s="172"/>
    </row>
    <row r="102" spans="1:36">
      <c r="A102" s="207">
        <v>100</v>
      </c>
      <c r="B102" s="208" t="s">
        <v>144</v>
      </c>
      <c r="C102" s="209" t="s">
        <v>151</v>
      </c>
      <c r="D102" s="36" t="s">
        <v>27</v>
      </c>
      <c r="E102" s="207"/>
      <c r="F102" s="207"/>
      <c r="G102" s="207"/>
      <c r="H102" s="207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  <c r="Y102" s="207"/>
      <c r="Z102" s="207"/>
      <c r="AA102" s="207"/>
      <c r="AB102" s="207"/>
      <c r="AC102" s="207"/>
      <c r="AD102" s="207"/>
      <c r="AE102" s="207"/>
      <c r="AF102" s="207"/>
      <c r="AG102" s="207"/>
      <c r="AH102" s="207"/>
      <c r="AI102" s="207"/>
      <c r="AJ102" s="172"/>
    </row>
    <row r="103" spans="1:36">
      <c r="A103" s="207">
        <v>101</v>
      </c>
      <c r="B103" s="208" t="s">
        <v>152</v>
      </c>
      <c r="C103" s="209" t="s">
        <v>153</v>
      </c>
      <c r="D103" s="36" t="s">
        <v>27</v>
      </c>
      <c r="E103" s="207"/>
      <c r="F103" s="207"/>
      <c r="G103" s="207"/>
      <c r="H103" s="207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  <c r="Y103" s="207"/>
      <c r="Z103" s="207"/>
      <c r="AA103" s="207"/>
      <c r="AB103" s="207"/>
      <c r="AC103" s="207"/>
      <c r="AD103" s="207"/>
      <c r="AE103" s="207"/>
      <c r="AF103" s="207"/>
      <c r="AG103" s="207"/>
      <c r="AH103" s="207"/>
      <c r="AI103" s="207"/>
      <c r="AJ103" s="172"/>
    </row>
    <row r="104" spans="1:36">
      <c r="A104" s="207">
        <v>102</v>
      </c>
      <c r="B104" s="208" t="s">
        <v>152</v>
      </c>
      <c r="C104" s="209" t="s">
        <v>155</v>
      </c>
      <c r="D104" s="36" t="s">
        <v>27</v>
      </c>
      <c r="E104" s="207"/>
      <c r="F104" s="207"/>
      <c r="G104" s="207"/>
      <c r="H104" s="207"/>
      <c r="I104" s="207"/>
      <c r="J104" s="207"/>
      <c r="K104" s="207"/>
      <c r="L104" s="207"/>
      <c r="M104" s="207"/>
      <c r="N104" s="207"/>
      <c r="O104" s="207"/>
      <c r="P104" s="207"/>
      <c r="Q104" s="207"/>
      <c r="R104" s="207"/>
      <c r="S104" s="207"/>
      <c r="T104" s="207"/>
      <c r="U104" s="207"/>
      <c r="V104" s="207"/>
      <c r="W104" s="207"/>
      <c r="X104" s="207"/>
      <c r="Y104" s="207"/>
      <c r="Z104" s="207"/>
      <c r="AA104" s="207"/>
      <c r="AB104" s="207"/>
      <c r="AC104" s="207"/>
      <c r="AD104" s="207"/>
      <c r="AE104" s="207"/>
      <c r="AF104" s="207"/>
      <c r="AG104" s="207"/>
      <c r="AH104" s="207"/>
      <c r="AI104" s="207"/>
      <c r="AJ104" s="172"/>
    </row>
    <row r="105" spans="1:36">
      <c r="A105" s="207">
        <v>103</v>
      </c>
      <c r="B105" s="208" t="s">
        <v>152</v>
      </c>
      <c r="C105" s="209" t="s">
        <v>156</v>
      </c>
      <c r="D105" s="36" t="s">
        <v>11</v>
      </c>
      <c r="E105" s="207"/>
      <c r="F105" s="207"/>
      <c r="G105" s="207"/>
      <c r="H105" s="207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  <c r="W105" s="207"/>
      <c r="X105" s="207"/>
      <c r="Y105" s="207"/>
      <c r="Z105" s="207"/>
      <c r="AA105" s="207"/>
      <c r="AB105" s="207"/>
      <c r="AC105" s="207"/>
      <c r="AD105" s="207"/>
      <c r="AE105" s="207"/>
      <c r="AF105" s="207"/>
      <c r="AG105" s="207"/>
      <c r="AH105" s="207"/>
      <c r="AI105" s="207"/>
      <c r="AJ105" s="172"/>
    </row>
    <row r="106" spans="1:36">
      <c r="A106" s="207">
        <v>104</v>
      </c>
      <c r="B106" s="208" t="s">
        <v>152</v>
      </c>
      <c r="C106" s="209" t="s">
        <v>157</v>
      </c>
      <c r="D106" s="36" t="s">
        <v>27</v>
      </c>
      <c r="E106" s="207"/>
      <c r="F106" s="207"/>
      <c r="G106" s="207"/>
      <c r="H106" s="207"/>
      <c r="I106" s="207"/>
      <c r="J106" s="207"/>
      <c r="K106" s="207"/>
      <c r="L106" s="207"/>
      <c r="M106" s="207"/>
      <c r="N106" s="207"/>
      <c r="O106" s="207"/>
      <c r="P106" s="207"/>
      <c r="Q106" s="207"/>
      <c r="R106" s="207"/>
      <c r="S106" s="207"/>
      <c r="T106" s="207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07"/>
      <c r="AG106" s="207"/>
      <c r="AH106" s="207"/>
      <c r="AI106" s="207"/>
      <c r="AJ106" s="172"/>
    </row>
    <row r="107" spans="1:36">
      <c r="A107" s="207">
        <v>105</v>
      </c>
      <c r="B107" s="208" t="s">
        <v>152</v>
      </c>
      <c r="C107" s="209" t="s">
        <v>158</v>
      </c>
      <c r="D107" s="36" t="s">
        <v>27</v>
      </c>
      <c r="E107" s="207"/>
      <c r="F107" s="207"/>
      <c r="G107" s="207"/>
      <c r="H107" s="207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07"/>
      <c r="AG107" s="207"/>
      <c r="AH107" s="207"/>
      <c r="AI107" s="207"/>
      <c r="AJ107" s="172"/>
    </row>
    <row r="108" spans="1:36">
      <c r="A108" s="207">
        <v>106</v>
      </c>
      <c r="B108" s="208" t="s">
        <v>152</v>
      </c>
      <c r="C108" s="212" t="s">
        <v>159</v>
      </c>
      <c r="D108" s="36" t="s">
        <v>27</v>
      </c>
      <c r="E108" s="207"/>
      <c r="F108" s="207"/>
      <c r="G108" s="207"/>
      <c r="H108" s="207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  <c r="X108" s="207"/>
      <c r="Y108" s="207"/>
      <c r="Z108" s="207"/>
      <c r="AA108" s="207"/>
      <c r="AB108" s="207"/>
      <c r="AC108" s="207"/>
      <c r="AD108" s="207"/>
      <c r="AE108" s="207"/>
      <c r="AF108" s="207"/>
      <c r="AG108" s="207"/>
      <c r="AH108" s="207"/>
      <c r="AI108" s="207"/>
      <c r="AJ108" s="172"/>
    </row>
    <row r="109" spans="1:36">
      <c r="A109" s="207">
        <v>107</v>
      </c>
      <c r="B109" s="208" t="s">
        <v>152</v>
      </c>
      <c r="C109" s="209" t="s">
        <v>50</v>
      </c>
      <c r="D109" s="36" t="s">
        <v>27</v>
      </c>
      <c r="E109" s="207"/>
      <c r="F109" s="207"/>
      <c r="G109" s="207"/>
      <c r="H109" s="207"/>
      <c r="I109" s="207"/>
      <c r="J109" s="207"/>
      <c r="K109" s="207"/>
      <c r="L109" s="207"/>
      <c r="M109" s="207"/>
      <c r="N109" s="207"/>
      <c r="O109" s="207"/>
      <c r="P109" s="207"/>
      <c r="Q109" s="207"/>
      <c r="R109" s="207"/>
      <c r="S109" s="207"/>
      <c r="T109" s="207"/>
      <c r="U109" s="207"/>
      <c r="V109" s="207"/>
      <c r="W109" s="207"/>
      <c r="X109" s="207"/>
      <c r="Y109" s="207"/>
      <c r="Z109" s="207"/>
      <c r="AA109" s="207"/>
      <c r="AB109" s="207"/>
      <c r="AC109" s="207"/>
      <c r="AD109" s="207"/>
      <c r="AE109" s="207"/>
      <c r="AF109" s="207"/>
      <c r="AG109" s="207"/>
      <c r="AH109" s="207"/>
      <c r="AI109" s="207"/>
      <c r="AJ109" s="172"/>
    </row>
    <row r="110" spans="1:36">
      <c r="A110" s="207">
        <v>108</v>
      </c>
      <c r="B110" s="208" t="s">
        <v>160</v>
      </c>
      <c r="C110" s="209" t="s">
        <v>161</v>
      </c>
      <c r="D110" s="36" t="s">
        <v>162</v>
      </c>
      <c r="E110" s="207"/>
      <c r="F110" s="207"/>
      <c r="G110" s="207"/>
      <c r="H110" s="207"/>
      <c r="I110" s="207"/>
      <c r="J110" s="207"/>
      <c r="K110" s="207"/>
      <c r="L110" s="207"/>
      <c r="M110" s="207"/>
      <c r="N110" s="207"/>
      <c r="O110" s="207"/>
      <c r="P110" s="207"/>
      <c r="Q110" s="207"/>
      <c r="R110" s="207"/>
      <c r="S110" s="207"/>
      <c r="T110" s="207"/>
      <c r="U110" s="207"/>
      <c r="V110" s="207"/>
      <c r="W110" s="207"/>
      <c r="X110" s="207"/>
      <c r="Y110" s="207"/>
      <c r="Z110" s="207"/>
      <c r="AA110" s="207"/>
      <c r="AB110" s="207"/>
      <c r="AC110" s="207"/>
      <c r="AD110" s="207"/>
      <c r="AE110" s="207"/>
      <c r="AF110" s="207"/>
      <c r="AG110" s="207"/>
      <c r="AH110" s="207"/>
      <c r="AI110" s="207"/>
      <c r="AJ110" s="172"/>
    </row>
    <row r="111" spans="1:36">
      <c r="A111" s="207">
        <v>109</v>
      </c>
      <c r="B111" s="208" t="s">
        <v>160</v>
      </c>
      <c r="C111" s="209" t="s">
        <v>163</v>
      </c>
      <c r="D111" s="36" t="s">
        <v>162</v>
      </c>
      <c r="E111" s="207"/>
      <c r="F111" s="207"/>
      <c r="G111" s="207"/>
      <c r="H111" s="207"/>
      <c r="I111" s="207"/>
      <c r="J111" s="207"/>
      <c r="K111" s="207"/>
      <c r="L111" s="207"/>
      <c r="M111" s="207"/>
      <c r="N111" s="207"/>
      <c r="O111" s="207"/>
      <c r="P111" s="207"/>
      <c r="Q111" s="207"/>
      <c r="R111" s="207"/>
      <c r="S111" s="207"/>
      <c r="T111" s="207"/>
      <c r="U111" s="207"/>
      <c r="V111" s="207"/>
      <c r="W111" s="207"/>
      <c r="X111" s="207"/>
      <c r="Y111" s="207"/>
      <c r="Z111" s="207"/>
      <c r="AA111" s="207"/>
      <c r="AB111" s="207"/>
      <c r="AC111" s="207"/>
      <c r="AD111" s="207"/>
      <c r="AE111" s="207"/>
      <c r="AF111" s="207"/>
      <c r="AG111" s="207"/>
      <c r="AH111" s="207"/>
      <c r="AI111" s="207"/>
      <c r="AJ111" s="172"/>
    </row>
    <row r="112" spans="1:36">
      <c r="A112" s="207">
        <v>110</v>
      </c>
      <c r="B112" s="208" t="s">
        <v>160</v>
      </c>
      <c r="C112" s="209" t="s">
        <v>164</v>
      </c>
      <c r="D112" s="36" t="s">
        <v>162</v>
      </c>
      <c r="E112" s="207"/>
      <c r="F112" s="207"/>
      <c r="G112" s="207"/>
      <c r="H112" s="207"/>
      <c r="I112" s="207"/>
      <c r="J112" s="207"/>
      <c r="K112" s="207"/>
      <c r="L112" s="207"/>
      <c r="M112" s="207"/>
      <c r="N112" s="207"/>
      <c r="O112" s="207"/>
      <c r="P112" s="207"/>
      <c r="Q112" s="207"/>
      <c r="R112" s="207"/>
      <c r="S112" s="207"/>
      <c r="T112" s="207"/>
      <c r="U112" s="207"/>
      <c r="V112" s="207"/>
      <c r="W112" s="207"/>
      <c r="X112" s="207"/>
      <c r="Y112" s="207"/>
      <c r="Z112" s="207"/>
      <c r="AA112" s="207"/>
      <c r="AB112" s="207"/>
      <c r="AC112" s="207"/>
      <c r="AD112" s="207"/>
      <c r="AE112" s="207"/>
      <c r="AF112" s="207"/>
      <c r="AG112" s="207"/>
      <c r="AH112" s="207"/>
      <c r="AI112" s="207"/>
      <c r="AJ112" s="172"/>
    </row>
    <row r="113" spans="1:36">
      <c r="A113" s="207">
        <v>111</v>
      </c>
      <c r="B113" s="208" t="s">
        <v>160</v>
      </c>
      <c r="C113" s="209" t="s">
        <v>165</v>
      </c>
      <c r="D113" s="36" t="s">
        <v>162</v>
      </c>
      <c r="E113" s="207"/>
      <c r="F113" s="207"/>
      <c r="G113" s="207"/>
      <c r="H113" s="207"/>
      <c r="I113" s="207"/>
      <c r="J113" s="207"/>
      <c r="K113" s="207"/>
      <c r="L113" s="207"/>
      <c r="M113" s="207"/>
      <c r="N113" s="207"/>
      <c r="O113" s="207"/>
      <c r="P113" s="207"/>
      <c r="Q113" s="207"/>
      <c r="R113" s="207"/>
      <c r="S113" s="207"/>
      <c r="T113" s="207"/>
      <c r="U113" s="207"/>
      <c r="V113" s="207"/>
      <c r="W113" s="207"/>
      <c r="X113" s="207"/>
      <c r="Y113" s="207"/>
      <c r="Z113" s="207"/>
      <c r="AA113" s="207"/>
      <c r="AB113" s="207"/>
      <c r="AC113" s="207"/>
      <c r="AD113" s="207"/>
      <c r="AE113" s="207"/>
      <c r="AF113" s="207"/>
      <c r="AG113" s="207"/>
      <c r="AH113" s="207"/>
      <c r="AI113" s="207"/>
      <c r="AJ113" s="172"/>
    </row>
    <row r="114" spans="1:36">
      <c r="A114" s="207">
        <v>112</v>
      </c>
      <c r="B114" s="208" t="s">
        <v>160</v>
      </c>
      <c r="C114" s="209" t="s">
        <v>166</v>
      </c>
      <c r="D114" s="36" t="s">
        <v>162</v>
      </c>
      <c r="E114" s="207"/>
      <c r="F114" s="207"/>
      <c r="G114" s="207"/>
      <c r="H114" s="207"/>
      <c r="I114" s="207"/>
      <c r="J114" s="207"/>
      <c r="K114" s="207"/>
      <c r="L114" s="207"/>
      <c r="M114" s="207"/>
      <c r="N114" s="207"/>
      <c r="O114" s="207"/>
      <c r="P114" s="207"/>
      <c r="Q114" s="207"/>
      <c r="R114" s="207"/>
      <c r="S114" s="207"/>
      <c r="T114" s="207"/>
      <c r="U114" s="207"/>
      <c r="V114" s="207"/>
      <c r="W114" s="207"/>
      <c r="X114" s="207"/>
      <c r="Y114" s="207"/>
      <c r="Z114" s="207"/>
      <c r="AA114" s="207"/>
      <c r="AB114" s="207"/>
      <c r="AC114" s="207"/>
      <c r="AD114" s="207"/>
      <c r="AE114" s="207"/>
      <c r="AF114" s="207"/>
      <c r="AG114" s="207"/>
      <c r="AH114" s="207"/>
      <c r="AI114" s="207"/>
      <c r="AJ114" s="172"/>
    </row>
    <row r="115" spans="1:36">
      <c r="A115" s="207">
        <v>113</v>
      </c>
      <c r="B115" s="208" t="s">
        <v>167</v>
      </c>
      <c r="C115" s="209" t="s">
        <v>168</v>
      </c>
      <c r="D115" s="36" t="s">
        <v>27</v>
      </c>
      <c r="E115" s="207"/>
      <c r="F115" s="207"/>
      <c r="G115" s="207"/>
      <c r="H115" s="207"/>
      <c r="I115" s="207"/>
      <c r="J115" s="207"/>
      <c r="K115" s="207"/>
      <c r="L115" s="207"/>
      <c r="M115" s="207"/>
      <c r="N115" s="207"/>
      <c r="O115" s="207"/>
      <c r="P115" s="207"/>
      <c r="Q115" s="207"/>
      <c r="R115" s="207"/>
      <c r="S115" s="207"/>
      <c r="T115" s="207"/>
      <c r="U115" s="207"/>
      <c r="V115" s="207"/>
      <c r="W115" s="207"/>
      <c r="X115" s="207"/>
      <c r="Y115" s="207"/>
      <c r="Z115" s="207"/>
      <c r="AA115" s="207"/>
      <c r="AB115" s="207"/>
      <c r="AC115" s="207"/>
      <c r="AD115" s="207"/>
      <c r="AE115" s="207"/>
      <c r="AF115" s="207"/>
      <c r="AG115" s="207"/>
      <c r="AH115" s="207"/>
      <c r="AI115" s="207"/>
      <c r="AJ115" s="172"/>
    </row>
    <row r="116" spans="1:36">
      <c r="A116" s="207">
        <v>114</v>
      </c>
      <c r="B116" s="208" t="s">
        <v>167</v>
      </c>
      <c r="C116" s="209" t="s">
        <v>169</v>
      </c>
      <c r="D116" s="36" t="s">
        <v>27</v>
      </c>
      <c r="E116" s="207"/>
      <c r="F116" s="207"/>
      <c r="G116" s="207"/>
      <c r="H116" s="207"/>
      <c r="I116" s="207"/>
      <c r="J116" s="207"/>
      <c r="K116" s="207"/>
      <c r="L116" s="207"/>
      <c r="M116" s="207"/>
      <c r="N116" s="207"/>
      <c r="O116" s="207"/>
      <c r="P116" s="207"/>
      <c r="Q116" s="207"/>
      <c r="R116" s="207"/>
      <c r="S116" s="207"/>
      <c r="T116" s="207"/>
      <c r="U116" s="207"/>
      <c r="V116" s="207"/>
      <c r="W116" s="207"/>
      <c r="X116" s="207"/>
      <c r="Y116" s="207"/>
      <c r="Z116" s="207"/>
      <c r="AA116" s="207"/>
      <c r="AB116" s="207"/>
      <c r="AC116" s="207"/>
      <c r="AD116" s="207"/>
      <c r="AE116" s="207"/>
      <c r="AF116" s="207"/>
      <c r="AG116" s="207"/>
      <c r="AH116" s="207"/>
      <c r="AI116" s="207"/>
      <c r="AJ116" s="172"/>
    </row>
    <row r="117" spans="1:36">
      <c r="A117" s="207">
        <v>115</v>
      </c>
      <c r="B117" s="208" t="s">
        <v>170</v>
      </c>
      <c r="C117" s="209" t="s">
        <v>171</v>
      </c>
      <c r="D117" s="36" t="s">
        <v>27</v>
      </c>
      <c r="E117" s="207"/>
      <c r="F117" s="207"/>
      <c r="G117" s="207"/>
      <c r="H117" s="207"/>
      <c r="I117" s="207"/>
      <c r="J117" s="207"/>
      <c r="K117" s="207"/>
      <c r="L117" s="207"/>
      <c r="M117" s="207"/>
      <c r="N117" s="207"/>
      <c r="O117" s="207"/>
      <c r="P117" s="207"/>
      <c r="Q117" s="207"/>
      <c r="R117" s="207"/>
      <c r="S117" s="207"/>
      <c r="T117" s="207"/>
      <c r="U117" s="207"/>
      <c r="V117" s="207"/>
      <c r="W117" s="207"/>
      <c r="X117" s="207"/>
      <c r="Y117" s="207"/>
      <c r="Z117" s="207"/>
      <c r="AA117" s="207"/>
      <c r="AB117" s="207"/>
      <c r="AC117" s="207"/>
      <c r="AD117" s="207"/>
      <c r="AE117" s="207"/>
      <c r="AF117" s="207"/>
      <c r="AG117" s="207"/>
      <c r="AH117" s="207"/>
      <c r="AI117" s="207"/>
      <c r="AJ117" s="172"/>
    </row>
    <row r="118" spans="1:36">
      <c r="A118" s="207">
        <v>116</v>
      </c>
      <c r="B118" s="208" t="s">
        <v>170</v>
      </c>
      <c r="C118" s="209" t="s">
        <v>172</v>
      </c>
      <c r="D118" s="36" t="s">
        <v>27</v>
      </c>
      <c r="E118" s="207"/>
      <c r="F118" s="207"/>
      <c r="G118" s="207"/>
      <c r="H118" s="207"/>
      <c r="I118" s="207"/>
      <c r="J118" s="207"/>
      <c r="K118" s="207"/>
      <c r="L118" s="207"/>
      <c r="M118" s="207"/>
      <c r="N118" s="207"/>
      <c r="O118" s="207"/>
      <c r="P118" s="207"/>
      <c r="Q118" s="207"/>
      <c r="R118" s="207"/>
      <c r="S118" s="207"/>
      <c r="T118" s="207"/>
      <c r="U118" s="207"/>
      <c r="V118" s="207"/>
      <c r="W118" s="207"/>
      <c r="X118" s="207"/>
      <c r="Y118" s="207"/>
      <c r="Z118" s="207"/>
      <c r="AA118" s="207"/>
      <c r="AB118" s="207"/>
      <c r="AC118" s="207"/>
      <c r="AD118" s="207"/>
      <c r="AE118" s="207"/>
      <c r="AF118" s="207"/>
      <c r="AG118" s="207"/>
      <c r="AH118" s="207"/>
      <c r="AI118" s="207"/>
      <c r="AJ118" s="172"/>
    </row>
    <row r="119" spans="1:36">
      <c r="A119" s="207">
        <v>117</v>
      </c>
      <c r="B119" s="208" t="s">
        <v>170</v>
      </c>
      <c r="C119" s="209" t="s">
        <v>173</v>
      </c>
      <c r="D119" s="36" t="s">
        <v>27</v>
      </c>
      <c r="E119" s="207"/>
      <c r="F119" s="207"/>
      <c r="G119" s="207"/>
      <c r="H119" s="207"/>
      <c r="I119" s="207"/>
      <c r="J119" s="207"/>
      <c r="K119" s="207"/>
      <c r="L119" s="207"/>
      <c r="M119" s="207"/>
      <c r="N119" s="207"/>
      <c r="O119" s="207"/>
      <c r="P119" s="207"/>
      <c r="Q119" s="207"/>
      <c r="R119" s="207"/>
      <c r="S119" s="207"/>
      <c r="T119" s="207"/>
      <c r="U119" s="207"/>
      <c r="V119" s="207"/>
      <c r="W119" s="207"/>
      <c r="X119" s="207"/>
      <c r="Y119" s="207"/>
      <c r="Z119" s="207"/>
      <c r="AA119" s="207"/>
      <c r="AB119" s="207"/>
      <c r="AC119" s="207"/>
      <c r="AD119" s="207"/>
      <c r="AE119" s="207"/>
      <c r="AF119" s="207"/>
      <c r="AG119" s="207"/>
      <c r="AH119" s="207"/>
      <c r="AI119" s="207"/>
      <c r="AJ119" s="172"/>
    </row>
    <row r="120" spans="1:36">
      <c r="A120" s="207">
        <v>118</v>
      </c>
      <c r="B120" s="208" t="s">
        <v>170</v>
      </c>
      <c r="C120" s="209" t="s">
        <v>174</v>
      </c>
      <c r="D120" s="36" t="s">
        <v>27</v>
      </c>
      <c r="E120" s="207"/>
      <c r="F120" s="207"/>
      <c r="G120" s="207"/>
      <c r="H120" s="207"/>
      <c r="I120" s="207"/>
      <c r="J120" s="207"/>
      <c r="K120" s="207"/>
      <c r="L120" s="207"/>
      <c r="M120" s="207"/>
      <c r="N120" s="207"/>
      <c r="O120" s="207"/>
      <c r="P120" s="207"/>
      <c r="Q120" s="207"/>
      <c r="R120" s="207"/>
      <c r="S120" s="207"/>
      <c r="T120" s="207"/>
      <c r="U120" s="207"/>
      <c r="V120" s="207"/>
      <c r="W120" s="207"/>
      <c r="X120" s="207"/>
      <c r="Y120" s="207"/>
      <c r="Z120" s="207"/>
      <c r="AA120" s="207"/>
      <c r="AB120" s="207"/>
      <c r="AC120" s="207"/>
      <c r="AD120" s="207"/>
      <c r="AE120" s="207"/>
      <c r="AF120" s="207"/>
      <c r="AG120" s="207"/>
      <c r="AH120" s="207"/>
      <c r="AI120" s="207"/>
      <c r="AJ120" s="172"/>
    </row>
    <row r="121" spans="1:36">
      <c r="A121" s="207">
        <v>119</v>
      </c>
      <c r="B121" s="208" t="s">
        <v>170</v>
      </c>
      <c r="C121" s="209" t="s">
        <v>175</v>
      </c>
      <c r="D121" s="36" t="s">
        <v>27</v>
      </c>
      <c r="E121" s="207"/>
      <c r="F121" s="207"/>
      <c r="G121" s="207"/>
      <c r="H121" s="207"/>
      <c r="I121" s="207"/>
      <c r="J121" s="207"/>
      <c r="K121" s="207"/>
      <c r="L121" s="207"/>
      <c r="M121" s="207"/>
      <c r="N121" s="207"/>
      <c r="O121" s="207"/>
      <c r="P121" s="207"/>
      <c r="Q121" s="207"/>
      <c r="R121" s="207"/>
      <c r="S121" s="207"/>
      <c r="T121" s="207"/>
      <c r="U121" s="207"/>
      <c r="V121" s="207"/>
      <c r="W121" s="207"/>
      <c r="X121" s="207"/>
      <c r="Y121" s="207"/>
      <c r="Z121" s="207"/>
      <c r="AA121" s="207"/>
      <c r="AB121" s="207"/>
      <c r="AC121" s="207"/>
      <c r="AD121" s="207"/>
      <c r="AE121" s="207"/>
      <c r="AF121" s="207"/>
      <c r="AG121" s="207"/>
      <c r="AH121" s="207"/>
      <c r="AI121" s="207"/>
      <c r="AJ121" s="172"/>
    </row>
    <row r="122" spans="1:36">
      <c r="A122" s="207">
        <v>120</v>
      </c>
      <c r="B122" s="208" t="s">
        <v>176</v>
      </c>
      <c r="C122" s="209" t="s">
        <v>177</v>
      </c>
      <c r="D122" s="36" t="s">
        <v>162</v>
      </c>
      <c r="E122" s="207"/>
      <c r="F122" s="207"/>
      <c r="G122" s="207"/>
      <c r="H122" s="207"/>
      <c r="I122" s="207"/>
      <c r="J122" s="207"/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7"/>
      <c r="X122" s="207"/>
      <c r="Y122" s="207"/>
      <c r="Z122" s="207"/>
      <c r="AA122" s="207"/>
      <c r="AB122" s="207"/>
      <c r="AC122" s="207"/>
      <c r="AD122" s="207"/>
      <c r="AE122" s="207"/>
      <c r="AF122" s="207"/>
      <c r="AG122" s="207"/>
      <c r="AH122" s="207"/>
      <c r="AI122" s="207"/>
      <c r="AJ122" s="172"/>
    </row>
    <row r="123" spans="1:36">
      <c r="A123" s="207">
        <v>121</v>
      </c>
      <c r="B123" s="208" t="s">
        <v>176</v>
      </c>
      <c r="C123" s="212" t="s">
        <v>178</v>
      </c>
      <c r="D123" s="36" t="s">
        <v>162</v>
      </c>
      <c r="E123" s="207"/>
      <c r="F123" s="207"/>
      <c r="G123" s="207"/>
      <c r="H123" s="207"/>
      <c r="I123" s="207"/>
      <c r="J123" s="207"/>
      <c r="K123" s="207"/>
      <c r="L123" s="207"/>
      <c r="M123" s="207"/>
      <c r="N123" s="207"/>
      <c r="O123" s="207"/>
      <c r="P123" s="207"/>
      <c r="Q123" s="207"/>
      <c r="R123" s="207"/>
      <c r="S123" s="207"/>
      <c r="T123" s="207"/>
      <c r="U123" s="207"/>
      <c r="V123" s="207"/>
      <c r="W123" s="207"/>
      <c r="X123" s="207"/>
      <c r="Y123" s="207"/>
      <c r="Z123" s="207"/>
      <c r="AA123" s="207"/>
      <c r="AB123" s="207"/>
      <c r="AC123" s="207"/>
      <c r="AD123" s="207"/>
      <c r="AE123" s="207"/>
      <c r="AF123" s="207"/>
      <c r="AG123" s="207"/>
      <c r="AH123" s="207"/>
      <c r="AI123" s="207"/>
      <c r="AJ123" s="172"/>
    </row>
    <row r="124" spans="1:36">
      <c r="A124" s="207">
        <v>122</v>
      </c>
      <c r="B124" s="208" t="s">
        <v>176</v>
      </c>
      <c r="C124" s="212" t="s">
        <v>179</v>
      </c>
      <c r="D124" s="36" t="s">
        <v>162</v>
      </c>
      <c r="E124" s="207"/>
      <c r="F124" s="207"/>
      <c r="G124" s="207"/>
      <c r="H124" s="207"/>
      <c r="I124" s="207"/>
      <c r="J124" s="207"/>
      <c r="K124" s="207"/>
      <c r="L124" s="207"/>
      <c r="M124" s="207"/>
      <c r="N124" s="207"/>
      <c r="O124" s="207"/>
      <c r="P124" s="207"/>
      <c r="Q124" s="207"/>
      <c r="R124" s="207"/>
      <c r="S124" s="207"/>
      <c r="T124" s="207"/>
      <c r="U124" s="207"/>
      <c r="V124" s="207"/>
      <c r="W124" s="207"/>
      <c r="X124" s="207"/>
      <c r="Y124" s="207"/>
      <c r="Z124" s="207"/>
      <c r="AA124" s="207"/>
      <c r="AB124" s="207"/>
      <c r="AC124" s="207"/>
      <c r="AD124" s="207"/>
      <c r="AE124" s="207"/>
      <c r="AF124" s="207"/>
      <c r="AG124" s="207"/>
      <c r="AH124" s="207"/>
      <c r="AI124" s="207"/>
      <c r="AJ124" s="172"/>
    </row>
    <row r="125" spans="1:36">
      <c r="A125" s="207">
        <v>123</v>
      </c>
      <c r="B125" s="208" t="s">
        <v>176</v>
      </c>
      <c r="C125" s="209" t="s">
        <v>180</v>
      </c>
      <c r="D125" s="36" t="s">
        <v>27</v>
      </c>
      <c r="E125" s="207"/>
      <c r="F125" s="207"/>
      <c r="G125" s="207"/>
      <c r="H125" s="207"/>
      <c r="I125" s="207"/>
      <c r="J125" s="207"/>
      <c r="K125" s="207"/>
      <c r="L125" s="207"/>
      <c r="M125" s="207"/>
      <c r="N125" s="207"/>
      <c r="O125" s="207"/>
      <c r="P125" s="207"/>
      <c r="Q125" s="207"/>
      <c r="R125" s="207"/>
      <c r="S125" s="207"/>
      <c r="T125" s="207"/>
      <c r="U125" s="207"/>
      <c r="V125" s="207"/>
      <c r="W125" s="207"/>
      <c r="X125" s="207"/>
      <c r="Y125" s="207"/>
      <c r="Z125" s="207"/>
      <c r="AA125" s="207"/>
      <c r="AB125" s="207"/>
      <c r="AC125" s="207"/>
      <c r="AD125" s="207"/>
      <c r="AE125" s="207"/>
      <c r="AF125" s="207"/>
      <c r="AG125" s="207"/>
      <c r="AH125" s="207"/>
      <c r="AI125" s="207"/>
      <c r="AJ125" s="172"/>
    </row>
    <row r="126" spans="1:36">
      <c r="A126" s="207">
        <v>124</v>
      </c>
      <c r="B126" s="208" t="s">
        <v>176</v>
      </c>
      <c r="C126" s="212" t="s">
        <v>181</v>
      </c>
      <c r="D126" s="36" t="s">
        <v>27</v>
      </c>
      <c r="E126" s="207"/>
      <c r="F126" s="207"/>
      <c r="G126" s="207"/>
      <c r="H126" s="207"/>
      <c r="I126" s="207"/>
      <c r="J126" s="207"/>
      <c r="K126" s="207"/>
      <c r="L126" s="207"/>
      <c r="M126" s="207"/>
      <c r="N126" s="207"/>
      <c r="O126" s="207"/>
      <c r="P126" s="207"/>
      <c r="Q126" s="207"/>
      <c r="R126" s="207"/>
      <c r="S126" s="207"/>
      <c r="T126" s="207"/>
      <c r="U126" s="207"/>
      <c r="V126" s="207"/>
      <c r="W126" s="207"/>
      <c r="X126" s="207"/>
      <c r="Y126" s="207"/>
      <c r="Z126" s="207"/>
      <c r="AA126" s="207"/>
      <c r="AB126" s="207"/>
      <c r="AC126" s="207"/>
      <c r="AD126" s="207"/>
      <c r="AE126" s="207"/>
      <c r="AF126" s="207"/>
      <c r="AG126" s="207"/>
      <c r="AH126" s="207"/>
      <c r="AI126" s="207"/>
      <c r="AJ126" s="172"/>
    </row>
    <row r="127" spans="1:36">
      <c r="A127" s="207">
        <v>125</v>
      </c>
      <c r="B127" s="208" t="s">
        <v>176</v>
      </c>
      <c r="C127" s="212" t="s">
        <v>182</v>
      </c>
      <c r="D127" s="36" t="s">
        <v>27</v>
      </c>
      <c r="E127" s="207"/>
      <c r="F127" s="207"/>
      <c r="G127" s="207"/>
      <c r="H127" s="207"/>
      <c r="I127" s="207"/>
      <c r="J127" s="207"/>
      <c r="K127" s="207"/>
      <c r="L127" s="207"/>
      <c r="M127" s="207"/>
      <c r="N127" s="207"/>
      <c r="O127" s="207"/>
      <c r="P127" s="207"/>
      <c r="Q127" s="207"/>
      <c r="R127" s="207"/>
      <c r="S127" s="207"/>
      <c r="T127" s="207"/>
      <c r="U127" s="207"/>
      <c r="V127" s="207"/>
      <c r="W127" s="207"/>
      <c r="X127" s="207"/>
      <c r="Y127" s="207"/>
      <c r="Z127" s="207"/>
      <c r="AA127" s="207"/>
      <c r="AB127" s="207"/>
      <c r="AC127" s="207"/>
      <c r="AD127" s="207"/>
      <c r="AE127" s="207"/>
      <c r="AF127" s="207"/>
      <c r="AG127" s="207"/>
      <c r="AH127" s="207"/>
      <c r="AI127" s="207"/>
      <c r="AJ127" s="172"/>
    </row>
    <row r="128" spans="1:36">
      <c r="A128" s="207">
        <v>126</v>
      </c>
      <c r="B128" s="208" t="s">
        <v>176</v>
      </c>
      <c r="C128" s="209" t="s">
        <v>183</v>
      </c>
      <c r="D128" s="36" t="s">
        <v>27</v>
      </c>
      <c r="E128" s="207"/>
      <c r="F128" s="207"/>
      <c r="G128" s="207"/>
      <c r="H128" s="207"/>
      <c r="I128" s="207"/>
      <c r="J128" s="207"/>
      <c r="K128" s="207"/>
      <c r="L128" s="207"/>
      <c r="M128" s="207"/>
      <c r="N128" s="207"/>
      <c r="O128" s="207"/>
      <c r="P128" s="207"/>
      <c r="Q128" s="207"/>
      <c r="R128" s="207"/>
      <c r="S128" s="207"/>
      <c r="T128" s="207"/>
      <c r="U128" s="207"/>
      <c r="V128" s="207"/>
      <c r="W128" s="207"/>
      <c r="X128" s="207"/>
      <c r="Y128" s="207"/>
      <c r="Z128" s="207"/>
      <c r="AA128" s="207"/>
      <c r="AB128" s="207"/>
      <c r="AC128" s="207"/>
      <c r="AD128" s="207"/>
      <c r="AE128" s="207"/>
      <c r="AF128" s="207"/>
      <c r="AG128" s="207"/>
      <c r="AH128" s="207"/>
      <c r="AI128" s="207"/>
      <c r="AJ128" s="172"/>
    </row>
    <row r="129" spans="1:36">
      <c r="A129" s="207">
        <v>127</v>
      </c>
      <c r="B129" s="208" t="s">
        <v>184</v>
      </c>
      <c r="C129" s="209" t="s">
        <v>185</v>
      </c>
      <c r="D129" s="36" t="s">
        <v>27</v>
      </c>
      <c r="E129" s="207"/>
      <c r="F129" s="207"/>
      <c r="G129" s="207"/>
      <c r="H129" s="207"/>
      <c r="I129" s="207"/>
      <c r="J129" s="207"/>
      <c r="K129" s="207"/>
      <c r="L129" s="207"/>
      <c r="M129" s="207"/>
      <c r="N129" s="207"/>
      <c r="O129" s="207"/>
      <c r="P129" s="207"/>
      <c r="Q129" s="207"/>
      <c r="R129" s="207"/>
      <c r="S129" s="207"/>
      <c r="T129" s="207"/>
      <c r="U129" s="207"/>
      <c r="V129" s="207"/>
      <c r="W129" s="207"/>
      <c r="X129" s="207"/>
      <c r="Y129" s="207"/>
      <c r="Z129" s="207"/>
      <c r="AA129" s="207"/>
      <c r="AB129" s="207"/>
      <c r="AC129" s="207"/>
      <c r="AD129" s="207"/>
      <c r="AE129" s="207"/>
      <c r="AF129" s="207"/>
      <c r="AG129" s="207"/>
      <c r="AH129" s="207"/>
      <c r="AI129" s="207"/>
      <c r="AJ129" s="172"/>
    </row>
    <row r="130" spans="1:36">
      <c r="A130" s="207">
        <v>128</v>
      </c>
      <c r="B130" s="208" t="s">
        <v>184</v>
      </c>
      <c r="C130" s="209" t="s">
        <v>186</v>
      </c>
      <c r="D130" s="36" t="s">
        <v>27</v>
      </c>
      <c r="E130" s="207"/>
      <c r="F130" s="207"/>
      <c r="G130" s="207"/>
      <c r="H130" s="207"/>
      <c r="I130" s="207"/>
      <c r="J130" s="207"/>
      <c r="K130" s="207"/>
      <c r="L130" s="207"/>
      <c r="M130" s="207"/>
      <c r="N130" s="207"/>
      <c r="O130" s="207"/>
      <c r="P130" s="207"/>
      <c r="Q130" s="207"/>
      <c r="R130" s="207"/>
      <c r="S130" s="207"/>
      <c r="T130" s="207"/>
      <c r="U130" s="207"/>
      <c r="V130" s="207"/>
      <c r="W130" s="207"/>
      <c r="X130" s="207"/>
      <c r="Y130" s="207"/>
      <c r="Z130" s="207"/>
      <c r="AA130" s="207"/>
      <c r="AB130" s="207"/>
      <c r="AC130" s="207"/>
      <c r="AD130" s="207"/>
      <c r="AE130" s="207"/>
      <c r="AF130" s="207"/>
      <c r="AG130" s="207"/>
      <c r="AH130" s="207"/>
      <c r="AI130" s="207"/>
      <c r="AJ130" s="172"/>
    </row>
    <row r="131" spans="1:36">
      <c r="A131" s="207">
        <v>129</v>
      </c>
      <c r="B131" s="208" t="s">
        <v>184</v>
      </c>
      <c r="C131" s="209" t="s">
        <v>187</v>
      </c>
      <c r="D131" s="36" t="s">
        <v>27</v>
      </c>
      <c r="E131" s="207"/>
      <c r="F131" s="207"/>
      <c r="G131" s="207"/>
      <c r="H131" s="207"/>
      <c r="I131" s="207"/>
      <c r="J131" s="207"/>
      <c r="K131" s="207"/>
      <c r="L131" s="207"/>
      <c r="M131" s="207"/>
      <c r="N131" s="207"/>
      <c r="O131" s="207"/>
      <c r="P131" s="207"/>
      <c r="Q131" s="207"/>
      <c r="R131" s="207"/>
      <c r="S131" s="207"/>
      <c r="T131" s="207"/>
      <c r="U131" s="207"/>
      <c r="V131" s="207"/>
      <c r="W131" s="207"/>
      <c r="X131" s="207"/>
      <c r="Y131" s="207"/>
      <c r="Z131" s="207"/>
      <c r="AA131" s="207"/>
      <c r="AB131" s="207"/>
      <c r="AC131" s="207"/>
      <c r="AD131" s="207"/>
      <c r="AE131" s="207"/>
      <c r="AF131" s="207"/>
      <c r="AG131" s="207"/>
      <c r="AH131" s="207"/>
      <c r="AI131" s="207"/>
      <c r="AJ131" s="172"/>
    </row>
    <row r="132" spans="1:36">
      <c r="A132" s="207">
        <v>130</v>
      </c>
      <c r="B132" s="208" t="s">
        <v>184</v>
      </c>
      <c r="C132" s="209" t="s">
        <v>188</v>
      </c>
      <c r="D132" s="36" t="s">
        <v>27</v>
      </c>
      <c r="E132" s="207"/>
      <c r="F132" s="207"/>
      <c r="G132" s="207"/>
      <c r="H132" s="207"/>
      <c r="I132" s="207"/>
      <c r="J132" s="207"/>
      <c r="K132" s="207"/>
      <c r="L132" s="207"/>
      <c r="M132" s="207"/>
      <c r="N132" s="207"/>
      <c r="O132" s="207"/>
      <c r="P132" s="207"/>
      <c r="Q132" s="207"/>
      <c r="R132" s="207"/>
      <c r="S132" s="207"/>
      <c r="T132" s="207"/>
      <c r="U132" s="207"/>
      <c r="V132" s="207"/>
      <c r="W132" s="207"/>
      <c r="X132" s="207"/>
      <c r="Y132" s="207"/>
      <c r="Z132" s="207"/>
      <c r="AA132" s="207"/>
      <c r="AB132" s="207"/>
      <c r="AC132" s="207"/>
      <c r="AD132" s="207"/>
      <c r="AE132" s="207"/>
      <c r="AF132" s="207"/>
      <c r="AG132" s="207"/>
      <c r="AH132" s="207"/>
      <c r="AI132" s="207"/>
      <c r="AJ132" s="172"/>
    </row>
    <row r="133" spans="1:36">
      <c r="A133" s="207">
        <v>131</v>
      </c>
      <c r="B133" s="208" t="s">
        <v>184</v>
      </c>
      <c r="C133" s="212" t="s">
        <v>189</v>
      </c>
      <c r="D133" s="36" t="s">
        <v>27</v>
      </c>
      <c r="E133" s="207"/>
      <c r="F133" s="207"/>
      <c r="G133" s="207"/>
      <c r="H133" s="207"/>
      <c r="I133" s="207"/>
      <c r="J133" s="207"/>
      <c r="K133" s="207"/>
      <c r="L133" s="207"/>
      <c r="M133" s="207"/>
      <c r="N133" s="207"/>
      <c r="O133" s="207"/>
      <c r="P133" s="207"/>
      <c r="Q133" s="207"/>
      <c r="R133" s="207"/>
      <c r="S133" s="207"/>
      <c r="T133" s="207"/>
      <c r="U133" s="207"/>
      <c r="V133" s="207"/>
      <c r="W133" s="207"/>
      <c r="X133" s="207"/>
      <c r="Y133" s="207"/>
      <c r="Z133" s="207"/>
      <c r="AA133" s="207"/>
      <c r="AB133" s="207"/>
      <c r="AC133" s="207"/>
      <c r="AD133" s="207"/>
      <c r="AE133" s="207"/>
      <c r="AF133" s="207"/>
      <c r="AG133" s="207"/>
      <c r="AH133" s="207"/>
      <c r="AI133" s="207"/>
      <c r="AJ133" s="172"/>
    </row>
    <row r="134" spans="1:36">
      <c r="A134" s="207">
        <v>132</v>
      </c>
      <c r="B134" s="208" t="s">
        <v>184</v>
      </c>
      <c r="C134" s="209" t="s">
        <v>190</v>
      </c>
      <c r="D134" s="36" t="s">
        <v>11</v>
      </c>
      <c r="E134" s="207"/>
      <c r="F134" s="207"/>
      <c r="G134" s="207"/>
      <c r="H134" s="207"/>
      <c r="I134" s="207"/>
      <c r="J134" s="207"/>
      <c r="K134" s="207"/>
      <c r="L134" s="207"/>
      <c r="M134" s="207"/>
      <c r="N134" s="207"/>
      <c r="O134" s="207"/>
      <c r="P134" s="207"/>
      <c r="Q134" s="207"/>
      <c r="R134" s="207"/>
      <c r="S134" s="207"/>
      <c r="T134" s="207"/>
      <c r="U134" s="207"/>
      <c r="V134" s="207"/>
      <c r="W134" s="207"/>
      <c r="X134" s="207"/>
      <c r="Y134" s="207"/>
      <c r="Z134" s="207"/>
      <c r="AA134" s="207"/>
      <c r="AB134" s="207"/>
      <c r="AC134" s="207"/>
      <c r="AD134" s="207"/>
      <c r="AE134" s="207"/>
      <c r="AF134" s="207"/>
      <c r="AG134" s="207"/>
      <c r="AH134" s="207"/>
      <c r="AI134" s="207"/>
      <c r="AJ134" s="172"/>
    </row>
    <row r="135" spans="1:36">
      <c r="A135" s="207">
        <v>133</v>
      </c>
      <c r="B135" s="208" t="s">
        <v>184</v>
      </c>
      <c r="C135" s="209" t="s">
        <v>191</v>
      </c>
      <c r="D135" s="36" t="s">
        <v>27</v>
      </c>
      <c r="E135" s="207"/>
      <c r="F135" s="207"/>
      <c r="G135" s="207"/>
      <c r="H135" s="207"/>
      <c r="I135" s="207"/>
      <c r="J135" s="207"/>
      <c r="K135" s="207"/>
      <c r="L135" s="207"/>
      <c r="M135" s="207"/>
      <c r="N135" s="207"/>
      <c r="O135" s="207"/>
      <c r="P135" s="207"/>
      <c r="Q135" s="207"/>
      <c r="R135" s="207"/>
      <c r="S135" s="207"/>
      <c r="T135" s="207"/>
      <c r="U135" s="207"/>
      <c r="V135" s="207"/>
      <c r="W135" s="207"/>
      <c r="X135" s="207"/>
      <c r="Y135" s="207"/>
      <c r="Z135" s="207"/>
      <c r="AA135" s="207"/>
      <c r="AB135" s="207"/>
      <c r="AC135" s="207"/>
      <c r="AD135" s="207"/>
      <c r="AE135" s="207"/>
      <c r="AF135" s="207"/>
      <c r="AG135" s="207"/>
      <c r="AH135" s="207"/>
      <c r="AI135" s="207"/>
      <c r="AJ135" s="172"/>
    </row>
    <row r="136" spans="1:36">
      <c r="A136" s="207">
        <v>134</v>
      </c>
      <c r="B136" s="208" t="s">
        <v>184</v>
      </c>
      <c r="C136" s="209" t="s">
        <v>192</v>
      </c>
      <c r="D136" s="36" t="s">
        <v>27</v>
      </c>
      <c r="E136" s="207"/>
      <c r="F136" s="207"/>
      <c r="G136" s="207"/>
      <c r="H136" s="207"/>
      <c r="I136" s="207"/>
      <c r="J136" s="207"/>
      <c r="K136" s="207"/>
      <c r="L136" s="207"/>
      <c r="M136" s="207"/>
      <c r="N136" s="207"/>
      <c r="O136" s="207"/>
      <c r="P136" s="207"/>
      <c r="Q136" s="207"/>
      <c r="R136" s="207"/>
      <c r="S136" s="207"/>
      <c r="T136" s="207"/>
      <c r="U136" s="207"/>
      <c r="V136" s="207"/>
      <c r="W136" s="207"/>
      <c r="X136" s="207"/>
      <c r="Y136" s="207"/>
      <c r="Z136" s="207"/>
      <c r="AA136" s="207"/>
      <c r="AB136" s="207"/>
      <c r="AC136" s="207"/>
      <c r="AD136" s="207"/>
      <c r="AE136" s="207"/>
      <c r="AF136" s="207"/>
      <c r="AG136" s="207"/>
      <c r="AH136" s="207"/>
      <c r="AI136" s="207"/>
      <c r="AJ136" s="172"/>
    </row>
    <row r="137" spans="1:36">
      <c r="A137" s="207">
        <v>135</v>
      </c>
      <c r="B137" s="208" t="s">
        <v>193</v>
      </c>
      <c r="C137" s="209" t="s">
        <v>194</v>
      </c>
      <c r="D137" s="36" t="s">
        <v>27</v>
      </c>
      <c r="E137" s="207"/>
      <c r="F137" s="207"/>
      <c r="G137" s="207"/>
      <c r="H137" s="207"/>
      <c r="I137" s="207"/>
      <c r="J137" s="207"/>
      <c r="K137" s="207"/>
      <c r="L137" s="207"/>
      <c r="M137" s="207"/>
      <c r="N137" s="207"/>
      <c r="O137" s="207"/>
      <c r="P137" s="207"/>
      <c r="Q137" s="207"/>
      <c r="R137" s="207"/>
      <c r="S137" s="207"/>
      <c r="T137" s="207"/>
      <c r="U137" s="207"/>
      <c r="V137" s="207"/>
      <c r="W137" s="207"/>
      <c r="X137" s="207"/>
      <c r="Y137" s="207"/>
      <c r="Z137" s="207"/>
      <c r="AA137" s="207"/>
      <c r="AB137" s="207"/>
      <c r="AC137" s="207"/>
      <c r="AD137" s="207"/>
      <c r="AE137" s="207"/>
      <c r="AF137" s="207"/>
      <c r="AG137" s="207"/>
      <c r="AH137" s="207"/>
      <c r="AI137" s="207"/>
      <c r="AJ137" s="172"/>
    </row>
    <row r="138" spans="1:36">
      <c r="A138" s="207">
        <v>136</v>
      </c>
      <c r="B138" s="208" t="s">
        <v>193</v>
      </c>
      <c r="C138" s="209" t="s">
        <v>195</v>
      </c>
      <c r="D138" s="36" t="s">
        <v>27</v>
      </c>
      <c r="E138" s="207"/>
      <c r="F138" s="207"/>
      <c r="G138" s="207"/>
      <c r="H138" s="207"/>
      <c r="I138" s="207"/>
      <c r="J138" s="207"/>
      <c r="K138" s="207"/>
      <c r="L138" s="207"/>
      <c r="M138" s="207"/>
      <c r="N138" s="207"/>
      <c r="O138" s="207"/>
      <c r="P138" s="207"/>
      <c r="Q138" s="207"/>
      <c r="R138" s="207"/>
      <c r="S138" s="207"/>
      <c r="T138" s="207"/>
      <c r="U138" s="207"/>
      <c r="V138" s="207"/>
      <c r="W138" s="207"/>
      <c r="X138" s="207"/>
      <c r="Y138" s="207"/>
      <c r="Z138" s="207"/>
      <c r="AA138" s="207"/>
      <c r="AB138" s="207"/>
      <c r="AC138" s="207"/>
      <c r="AD138" s="207"/>
      <c r="AE138" s="207"/>
      <c r="AF138" s="207"/>
      <c r="AG138" s="207"/>
      <c r="AH138" s="207"/>
      <c r="AI138" s="207"/>
      <c r="AJ138" s="172"/>
    </row>
    <row r="139" spans="1:36">
      <c r="A139" s="207">
        <v>137</v>
      </c>
      <c r="B139" s="208" t="s">
        <v>193</v>
      </c>
      <c r="C139" s="209" t="s">
        <v>196</v>
      </c>
      <c r="D139" s="36" t="s">
        <v>27</v>
      </c>
      <c r="E139" s="207"/>
      <c r="F139" s="207"/>
      <c r="G139" s="207"/>
      <c r="H139" s="207"/>
      <c r="I139" s="207"/>
      <c r="J139" s="207"/>
      <c r="K139" s="207"/>
      <c r="L139" s="207"/>
      <c r="M139" s="207"/>
      <c r="N139" s="207"/>
      <c r="O139" s="207"/>
      <c r="P139" s="207"/>
      <c r="Q139" s="207"/>
      <c r="R139" s="207"/>
      <c r="S139" s="207"/>
      <c r="T139" s="207"/>
      <c r="U139" s="207"/>
      <c r="V139" s="207"/>
      <c r="W139" s="207"/>
      <c r="X139" s="207"/>
      <c r="Y139" s="207"/>
      <c r="Z139" s="207"/>
      <c r="AA139" s="207"/>
      <c r="AB139" s="207"/>
      <c r="AC139" s="207"/>
      <c r="AD139" s="207"/>
      <c r="AE139" s="207"/>
      <c r="AF139" s="207"/>
      <c r="AG139" s="207"/>
      <c r="AH139" s="207"/>
      <c r="AI139" s="207"/>
      <c r="AJ139" s="172"/>
    </row>
    <row r="140" spans="1:36">
      <c r="A140" s="207">
        <v>138</v>
      </c>
      <c r="B140" s="208" t="s">
        <v>193</v>
      </c>
      <c r="C140" s="209" t="s">
        <v>197</v>
      </c>
      <c r="D140" s="36" t="s">
        <v>27</v>
      </c>
      <c r="E140" s="207"/>
      <c r="F140" s="207"/>
      <c r="G140" s="207"/>
      <c r="H140" s="207"/>
      <c r="I140" s="207"/>
      <c r="J140" s="207"/>
      <c r="K140" s="207"/>
      <c r="L140" s="207"/>
      <c r="M140" s="207"/>
      <c r="N140" s="207"/>
      <c r="O140" s="207"/>
      <c r="P140" s="207"/>
      <c r="Q140" s="207"/>
      <c r="R140" s="207"/>
      <c r="S140" s="207"/>
      <c r="T140" s="207"/>
      <c r="U140" s="207"/>
      <c r="V140" s="207"/>
      <c r="W140" s="207"/>
      <c r="X140" s="207"/>
      <c r="Y140" s="207"/>
      <c r="Z140" s="207"/>
      <c r="AA140" s="207"/>
      <c r="AB140" s="207"/>
      <c r="AC140" s="207"/>
      <c r="AD140" s="207"/>
      <c r="AE140" s="207"/>
      <c r="AF140" s="207"/>
      <c r="AG140" s="207"/>
      <c r="AH140" s="207"/>
      <c r="AI140" s="207"/>
      <c r="AJ140" s="172"/>
    </row>
    <row r="141" spans="1:36">
      <c r="A141" s="207">
        <v>139</v>
      </c>
      <c r="B141" s="208" t="s">
        <v>193</v>
      </c>
      <c r="C141" s="209" t="s">
        <v>198</v>
      </c>
      <c r="D141" s="36" t="s">
        <v>27</v>
      </c>
      <c r="E141" s="207"/>
      <c r="F141" s="207"/>
      <c r="G141" s="207"/>
      <c r="H141" s="207"/>
      <c r="I141" s="207"/>
      <c r="J141" s="207"/>
      <c r="K141" s="207"/>
      <c r="L141" s="207"/>
      <c r="M141" s="207"/>
      <c r="N141" s="207"/>
      <c r="O141" s="207"/>
      <c r="P141" s="207"/>
      <c r="Q141" s="207"/>
      <c r="R141" s="207"/>
      <c r="S141" s="207"/>
      <c r="T141" s="207"/>
      <c r="U141" s="207"/>
      <c r="V141" s="207"/>
      <c r="W141" s="207"/>
      <c r="X141" s="207"/>
      <c r="Y141" s="207"/>
      <c r="Z141" s="207"/>
      <c r="AA141" s="207"/>
      <c r="AB141" s="207"/>
      <c r="AC141" s="207"/>
      <c r="AD141" s="207"/>
      <c r="AE141" s="207"/>
      <c r="AF141" s="207"/>
      <c r="AG141" s="207"/>
      <c r="AH141" s="207"/>
      <c r="AI141" s="207"/>
      <c r="AJ141" s="172"/>
    </row>
    <row r="142" spans="1:36">
      <c r="A142" s="207">
        <v>140</v>
      </c>
      <c r="B142" s="208" t="s">
        <v>193</v>
      </c>
      <c r="C142" s="212" t="s">
        <v>199</v>
      </c>
      <c r="D142" s="36" t="s">
        <v>27</v>
      </c>
      <c r="E142" s="207"/>
      <c r="F142" s="207"/>
      <c r="G142" s="207"/>
      <c r="H142" s="207"/>
      <c r="I142" s="207"/>
      <c r="J142" s="207"/>
      <c r="K142" s="207"/>
      <c r="L142" s="207"/>
      <c r="M142" s="207"/>
      <c r="N142" s="207"/>
      <c r="O142" s="207"/>
      <c r="P142" s="207"/>
      <c r="Q142" s="207"/>
      <c r="R142" s="207"/>
      <c r="S142" s="207"/>
      <c r="T142" s="207"/>
      <c r="U142" s="207"/>
      <c r="V142" s="207"/>
      <c r="W142" s="207"/>
      <c r="X142" s="207"/>
      <c r="Y142" s="207"/>
      <c r="Z142" s="207"/>
      <c r="AA142" s="207"/>
      <c r="AB142" s="207"/>
      <c r="AC142" s="207"/>
      <c r="AD142" s="207"/>
      <c r="AE142" s="207"/>
      <c r="AF142" s="207"/>
      <c r="AG142" s="207"/>
      <c r="AH142" s="207"/>
      <c r="AI142" s="207"/>
      <c r="AJ142" s="172"/>
    </row>
    <row r="143" spans="1:36">
      <c r="A143" s="207">
        <v>141</v>
      </c>
      <c r="B143" s="208" t="s">
        <v>193</v>
      </c>
      <c r="C143" s="209" t="s">
        <v>200</v>
      </c>
      <c r="D143" s="36" t="s">
        <v>27</v>
      </c>
      <c r="E143" s="207"/>
      <c r="F143" s="207"/>
      <c r="G143" s="207"/>
      <c r="H143" s="207"/>
      <c r="I143" s="207"/>
      <c r="J143" s="207"/>
      <c r="K143" s="207"/>
      <c r="L143" s="207"/>
      <c r="M143" s="207"/>
      <c r="N143" s="207"/>
      <c r="O143" s="207"/>
      <c r="P143" s="207"/>
      <c r="Q143" s="207"/>
      <c r="R143" s="207"/>
      <c r="S143" s="207"/>
      <c r="T143" s="207"/>
      <c r="U143" s="207"/>
      <c r="V143" s="207"/>
      <c r="W143" s="207"/>
      <c r="X143" s="207"/>
      <c r="Y143" s="207"/>
      <c r="Z143" s="207"/>
      <c r="AA143" s="207"/>
      <c r="AB143" s="207"/>
      <c r="AC143" s="207"/>
      <c r="AD143" s="207"/>
      <c r="AE143" s="207"/>
      <c r="AF143" s="207"/>
      <c r="AG143" s="207"/>
      <c r="AH143" s="207"/>
      <c r="AI143" s="207"/>
      <c r="AJ143" s="172"/>
    </row>
    <row r="144" spans="1:36">
      <c r="A144" s="207">
        <v>142</v>
      </c>
      <c r="B144" s="208" t="s">
        <v>193</v>
      </c>
      <c r="C144" s="209" t="s">
        <v>201</v>
      </c>
      <c r="D144" s="36" t="s">
        <v>27</v>
      </c>
      <c r="E144" s="207"/>
      <c r="F144" s="207"/>
      <c r="G144" s="207"/>
      <c r="H144" s="207"/>
      <c r="I144" s="207"/>
      <c r="J144" s="207"/>
      <c r="K144" s="207"/>
      <c r="L144" s="207"/>
      <c r="M144" s="207"/>
      <c r="N144" s="207"/>
      <c r="O144" s="207"/>
      <c r="P144" s="207"/>
      <c r="Q144" s="207"/>
      <c r="R144" s="207"/>
      <c r="S144" s="207"/>
      <c r="T144" s="207"/>
      <c r="U144" s="207"/>
      <c r="V144" s="207"/>
      <c r="W144" s="207"/>
      <c r="X144" s="207"/>
      <c r="Y144" s="207"/>
      <c r="Z144" s="207"/>
      <c r="AA144" s="207"/>
      <c r="AB144" s="207"/>
      <c r="AC144" s="207"/>
      <c r="AD144" s="207"/>
      <c r="AE144" s="207"/>
      <c r="AF144" s="207"/>
      <c r="AG144" s="207"/>
      <c r="AH144" s="207"/>
      <c r="AI144" s="207"/>
      <c r="AJ144" s="172"/>
    </row>
    <row r="145" spans="1:36">
      <c r="A145" s="207">
        <v>143</v>
      </c>
      <c r="B145" s="208" t="s">
        <v>193</v>
      </c>
      <c r="C145" s="212" t="s">
        <v>202</v>
      </c>
      <c r="D145" s="36" t="s">
        <v>27</v>
      </c>
      <c r="E145" s="207"/>
      <c r="F145" s="207"/>
      <c r="G145" s="207"/>
      <c r="H145" s="207"/>
      <c r="I145" s="207"/>
      <c r="J145" s="207"/>
      <c r="K145" s="207"/>
      <c r="L145" s="207"/>
      <c r="M145" s="207"/>
      <c r="N145" s="207"/>
      <c r="O145" s="207"/>
      <c r="P145" s="207"/>
      <c r="Q145" s="207"/>
      <c r="R145" s="207"/>
      <c r="S145" s="207"/>
      <c r="T145" s="207"/>
      <c r="U145" s="207"/>
      <c r="V145" s="207"/>
      <c r="W145" s="207"/>
      <c r="X145" s="207"/>
      <c r="Y145" s="207"/>
      <c r="Z145" s="207"/>
      <c r="AA145" s="207"/>
      <c r="AB145" s="207"/>
      <c r="AC145" s="207"/>
      <c r="AD145" s="207"/>
      <c r="AE145" s="207"/>
      <c r="AF145" s="207"/>
      <c r="AG145" s="207"/>
      <c r="AH145" s="207"/>
      <c r="AI145" s="207"/>
      <c r="AJ145" s="172"/>
    </row>
    <row r="146" spans="1:36">
      <c r="A146" s="207">
        <v>144</v>
      </c>
      <c r="B146" s="208" t="s">
        <v>203</v>
      </c>
      <c r="C146" s="209" t="s">
        <v>204</v>
      </c>
      <c r="D146" s="36" t="s">
        <v>27</v>
      </c>
      <c r="E146" s="207"/>
      <c r="F146" s="207"/>
      <c r="G146" s="207"/>
      <c r="H146" s="207"/>
      <c r="I146" s="207"/>
      <c r="J146" s="207"/>
      <c r="K146" s="207"/>
      <c r="L146" s="207"/>
      <c r="M146" s="207"/>
      <c r="N146" s="207"/>
      <c r="O146" s="207"/>
      <c r="P146" s="207"/>
      <c r="Q146" s="207"/>
      <c r="R146" s="207"/>
      <c r="S146" s="207"/>
      <c r="T146" s="207"/>
      <c r="U146" s="207"/>
      <c r="V146" s="207"/>
      <c r="W146" s="207"/>
      <c r="X146" s="207"/>
      <c r="Y146" s="207"/>
      <c r="Z146" s="207"/>
      <c r="AA146" s="207"/>
      <c r="AB146" s="207"/>
      <c r="AC146" s="207"/>
      <c r="AD146" s="207"/>
      <c r="AE146" s="207"/>
      <c r="AF146" s="207"/>
      <c r="AG146" s="207"/>
      <c r="AH146" s="207"/>
      <c r="AI146" s="207"/>
      <c r="AJ146" s="172"/>
    </row>
    <row r="147" spans="1:36">
      <c r="A147" s="207">
        <v>145</v>
      </c>
      <c r="B147" s="208" t="s">
        <v>203</v>
      </c>
      <c r="C147" s="211" t="s">
        <v>205</v>
      </c>
      <c r="D147" s="36" t="s">
        <v>17</v>
      </c>
      <c r="E147" s="207"/>
      <c r="F147" s="207"/>
      <c r="G147" s="207"/>
      <c r="H147" s="207"/>
      <c r="I147" s="207"/>
      <c r="J147" s="207"/>
      <c r="K147" s="207"/>
      <c r="L147" s="207"/>
      <c r="M147" s="207"/>
      <c r="N147" s="207"/>
      <c r="O147" s="207"/>
      <c r="P147" s="207"/>
      <c r="Q147" s="207"/>
      <c r="R147" s="207"/>
      <c r="S147" s="207"/>
      <c r="T147" s="207"/>
      <c r="U147" s="207"/>
      <c r="V147" s="207"/>
      <c r="W147" s="207"/>
      <c r="X147" s="207"/>
      <c r="Y147" s="207"/>
      <c r="Z147" s="207"/>
      <c r="AA147" s="207"/>
      <c r="AB147" s="207"/>
      <c r="AC147" s="207"/>
      <c r="AD147" s="207"/>
      <c r="AE147" s="207"/>
      <c r="AF147" s="207"/>
      <c r="AG147" s="207"/>
      <c r="AH147" s="207"/>
      <c r="AI147" s="207"/>
      <c r="AJ147" s="172"/>
    </row>
    <row r="148" spans="1:36">
      <c r="A148" s="207">
        <v>146</v>
      </c>
      <c r="B148" s="208" t="s">
        <v>203</v>
      </c>
      <c r="C148" s="211" t="s">
        <v>206</v>
      </c>
      <c r="D148" s="36" t="s">
        <v>207</v>
      </c>
      <c r="E148" s="207"/>
      <c r="F148" s="207"/>
      <c r="G148" s="207"/>
      <c r="H148" s="207"/>
      <c r="I148" s="207"/>
      <c r="J148" s="207"/>
      <c r="K148" s="207"/>
      <c r="L148" s="207"/>
      <c r="M148" s="207"/>
      <c r="N148" s="207"/>
      <c r="O148" s="207"/>
      <c r="P148" s="207"/>
      <c r="Q148" s="207"/>
      <c r="R148" s="207"/>
      <c r="S148" s="207"/>
      <c r="T148" s="207"/>
      <c r="U148" s="207"/>
      <c r="V148" s="207"/>
      <c r="W148" s="207"/>
      <c r="X148" s="207"/>
      <c r="Y148" s="207"/>
      <c r="Z148" s="207"/>
      <c r="AA148" s="207"/>
      <c r="AB148" s="207"/>
      <c r="AC148" s="207"/>
      <c r="AD148" s="207"/>
      <c r="AE148" s="207"/>
      <c r="AF148" s="207"/>
      <c r="AG148" s="207"/>
      <c r="AH148" s="207"/>
      <c r="AI148" s="207"/>
      <c r="AJ148" s="172"/>
    </row>
    <row r="149" spans="1:36">
      <c r="A149" s="207">
        <v>147</v>
      </c>
      <c r="B149" s="208" t="s">
        <v>203</v>
      </c>
      <c r="C149" s="211" t="s">
        <v>208</v>
      </c>
      <c r="D149" s="36" t="s">
        <v>17</v>
      </c>
      <c r="E149" s="207"/>
      <c r="F149" s="207"/>
      <c r="G149" s="207"/>
      <c r="H149" s="207"/>
      <c r="I149" s="207"/>
      <c r="J149" s="207"/>
      <c r="K149" s="207"/>
      <c r="L149" s="207"/>
      <c r="M149" s="207"/>
      <c r="N149" s="207"/>
      <c r="O149" s="207"/>
      <c r="P149" s="207"/>
      <c r="Q149" s="207"/>
      <c r="R149" s="207"/>
      <c r="S149" s="207"/>
      <c r="T149" s="207"/>
      <c r="U149" s="207"/>
      <c r="V149" s="207"/>
      <c r="W149" s="207"/>
      <c r="X149" s="207"/>
      <c r="Y149" s="207"/>
      <c r="Z149" s="207"/>
      <c r="AA149" s="207"/>
      <c r="AB149" s="207"/>
      <c r="AC149" s="207"/>
      <c r="AD149" s="207"/>
      <c r="AE149" s="207"/>
      <c r="AF149" s="207"/>
      <c r="AG149" s="207"/>
      <c r="AH149" s="207"/>
      <c r="AI149" s="207"/>
      <c r="AJ149" s="172"/>
    </row>
    <row r="150" spans="1:36">
      <c r="A150" s="207">
        <v>148</v>
      </c>
      <c r="B150" s="208" t="s">
        <v>203</v>
      </c>
      <c r="C150" s="209" t="s">
        <v>209</v>
      </c>
      <c r="D150" s="36" t="s">
        <v>27</v>
      </c>
      <c r="E150" s="207"/>
      <c r="F150" s="207"/>
      <c r="G150" s="207"/>
      <c r="H150" s="207"/>
      <c r="I150" s="207"/>
      <c r="J150" s="207"/>
      <c r="K150" s="207"/>
      <c r="L150" s="207"/>
      <c r="M150" s="207"/>
      <c r="N150" s="207"/>
      <c r="O150" s="207"/>
      <c r="P150" s="207"/>
      <c r="Q150" s="207"/>
      <c r="R150" s="207"/>
      <c r="S150" s="207"/>
      <c r="T150" s="207"/>
      <c r="U150" s="207"/>
      <c r="V150" s="207"/>
      <c r="W150" s="207"/>
      <c r="X150" s="207"/>
      <c r="Y150" s="207"/>
      <c r="Z150" s="207"/>
      <c r="AA150" s="207"/>
      <c r="AB150" s="207"/>
      <c r="AC150" s="207"/>
      <c r="AD150" s="207"/>
      <c r="AE150" s="207"/>
      <c r="AF150" s="207"/>
      <c r="AG150" s="207"/>
      <c r="AH150" s="207"/>
      <c r="AI150" s="207"/>
      <c r="AJ150" s="172"/>
    </row>
    <row r="151" spans="1:36">
      <c r="A151" s="207">
        <v>149</v>
      </c>
      <c r="B151" s="208" t="s">
        <v>203</v>
      </c>
      <c r="C151" s="209" t="s">
        <v>210</v>
      </c>
      <c r="D151" s="36" t="s">
        <v>27</v>
      </c>
      <c r="E151" s="207"/>
      <c r="F151" s="207"/>
      <c r="G151" s="207"/>
      <c r="H151" s="207"/>
      <c r="I151" s="207"/>
      <c r="J151" s="207"/>
      <c r="K151" s="207"/>
      <c r="L151" s="207"/>
      <c r="M151" s="207"/>
      <c r="N151" s="207"/>
      <c r="O151" s="207"/>
      <c r="P151" s="207"/>
      <c r="Q151" s="207"/>
      <c r="R151" s="207"/>
      <c r="S151" s="207"/>
      <c r="T151" s="207"/>
      <c r="U151" s="207"/>
      <c r="V151" s="207"/>
      <c r="W151" s="207"/>
      <c r="X151" s="207"/>
      <c r="Y151" s="207"/>
      <c r="Z151" s="207"/>
      <c r="AA151" s="207"/>
      <c r="AB151" s="207"/>
      <c r="AC151" s="207"/>
      <c r="AD151" s="207"/>
      <c r="AE151" s="207"/>
      <c r="AF151" s="207"/>
      <c r="AG151" s="207"/>
      <c r="AH151" s="207"/>
      <c r="AI151" s="207"/>
      <c r="AJ151" s="172"/>
    </row>
    <row r="152" spans="1:36">
      <c r="A152" s="207">
        <v>150</v>
      </c>
      <c r="B152" s="208" t="s">
        <v>203</v>
      </c>
      <c r="C152" s="211" t="s">
        <v>211</v>
      </c>
      <c r="D152" s="36" t="s">
        <v>17</v>
      </c>
      <c r="E152" s="207"/>
      <c r="F152" s="207"/>
      <c r="G152" s="207"/>
      <c r="H152" s="207"/>
      <c r="I152" s="207"/>
      <c r="J152" s="207"/>
      <c r="K152" s="207"/>
      <c r="L152" s="207"/>
      <c r="M152" s="207"/>
      <c r="N152" s="207"/>
      <c r="O152" s="207"/>
      <c r="P152" s="207"/>
      <c r="Q152" s="207"/>
      <c r="R152" s="207"/>
      <c r="S152" s="207"/>
      <c r="T152" s="207"/>
      <c r="U152" s="207"/>
      <c r="V152" s="207"/>
      <c r="W152" s="207"/>
      <c r="X152" s="207"/>
      <c r="Y152" s="207"/>
      <c r="Z152" s="207"/>
      <c r="AA152" s="207"/>
      <c r="AB152" s="207"/>
      <c r="AC152" s="207"/>
      <c r="AD152" s="207"/>
      <c r="AE152" s="207"/>
      <c r="AF152" s="207"/>
      <c r="AG152" s="207"/>
      <c r="AH152" s="207"/>
      <c r="AI152" s="207"/>
      <c r="AJ152" s="172"/>
    </row>
    <row r="153" spans="1:36">
      <c r="A153" s="207">
        <v>151</v>
      </c>
      <c r="B153" s="208" t="s">
        <v>203</v>
      </c>
      <c r="C153" s="209" t="s">
        <v>212</v>
      </c>
      <c r="D153" s="36" t="s">
        <v>27</v>
      </c>
      <c r="E153" s="207"/>
      <c r="F153" s="207"/>
      <c r="G153" s="207"/>
      <c r="H153" s="207"/>
      <c r="I153" s="207"/>
      <c r="J153" s="207"/>
      <c r="K153" s="207"/>
      <c r="L153" s="207"/>
      <c r="M153" s="207"/>
      <c r="N153" s="207"/>
      <c r="O153" s="207"/>
      <c r="P153" s="207"/>
      <c r="Q153" s="207"/>
      <c r="R153" s="207"/>
      <c r="S153" s="207"/>
      <c r="T153" s="207"/>
      <c r="U153" s="207"/>
      <c r="V153" s="207"/>
      <c r="W153" s="207"/>
      <c r="X153" s="207"/>
      <c r="Y153" s="207"/>
      <c r="Z153" s="207"/>
      <c r="AA153" s="207"/>
      <c r="AB153" s="207"/>
      <c r="AC153" s="207"/>
      <c r="AD153" s="207"/>
      <c r="AE153" s="207"/>
      <c r="AF153" s="207"/>
      <c r="AG153" s="207"/>
      <c r="AH153" s="207"/>
      <c r="AI153" s="207"/>
      <c r="AJ153" s="172"/>
    </row>
    <row r="154" spans="1:36">
      <c r="A154" s="207">
        <v>152</v>
      </c>
      <c r="B154" s="208" t="s">
        <v>203</v>
      </c>
      <c r="C154" s="212" t="s">
        <v>213</v>
      </c>
      <c r="D154" s="36" t="s">
        <v>27</v>
      </c>
      <c r="E154" s="207"/>
      <c r="F154" s="207"/>
      <c r="G154" s="207"/>
      <c r="H154" s="207"/>
      <c r="I154" s="207"/>
      <c r="J154" s="207"/>
      <c r="K154" s="207"/>
      <c r="L154" s="207"/>
      <c r="M154" s="207"/>
      <c r="N154" s="207"/>
      <c r="O154" s="207"/>
      <c r="P154" s="207"/>
      <c r="Q154" s="207"/>
      <c r="R154" s="207"/>
      <c r="S154" s="207"/>
      <c r="T154" s="207"/>
      <c r="U154" s="207"/>
      <c r="V154" s="207"/>
      <c r="W154" s="207"/>
      <c r="X154" s="207"/>
      <c r="Y154" s="207"/>
      <c r="Z154" s="207"/>
      <c r="AA154" s="207"/>
      <c r="AB154" s="207"/>
      <c r="AC154" s="207"/>
      <c r="AD154" s="207"/>
      <c r="AE154" s="207"/>
      <c r="AF154" s="207"/>
      <c r="AG154" s="207"/>
      <c r="AH154" s="207"/>
      <c r="AI154" s="207"/>
      <c r="AJ154" s="172"/>
    </row>
    <row r="155" spans="1:36">
      <c r="A155" s="207">
        <v>153</v>
      </c>
      <c r="B155" s="208" t="s">
        <v>203</v>
      </c>
      <c r="C155" s="209" t="s">
        <v>214</v>
      </c>
      <c r="D155" s="36" t="s">
        <v>27</v>
      </c>
      <c r="E155" s="207"/>
      <c r="F155" s="207"/>
      <c r="G155" s="207"/>
      <c r="H155" s="207"/>
      <c r="I155" s="207"/>
      <c r="J155" s="207"/>
      <c r="K155" s="207"/>
      <c r="L155" s="207"/>
      <c r="M155" s="207"/>
      <c r="N155" s="207"/>
      <c r="O155" s="207"/>
      <c r="P155" s="207"/>
      <c r="Q155" s="207"/>
      <c r="R155" s="207"/>
      <c r="S155" s="207"/>
      <c r="T155" s="207"/>
      <c r="U155" s="207"/>
      <c r="V155" s="207"/>
      <c r="W155" s="207"/>
      <c r="X155" s="207"/>
      <c r="Y155" s="207"/>
      <c r="Z155" s="207"/>
      <c r="AA155" s="207"/>
      <c r="AB155" s="207"/>
      <c r="AC155" s="207"/>
      <c r="AD155" s="207"/>
      <c r="AE155" s="207"/>
      <c r="AF155" s="207"/>
      <c r="AG155" s="207"/>
      <c r="AH155" s="207"/>
      <c r="AI155" s="207"/>
      <c r="AJ155" s="172"/>
    </row>
    <row r="156" spans="1:36">
      <c r="A156" s="207">
        <v>154</v>
      </c>
      <c r="B156" s="208" t="s">
        <v>203</v>
      </c>
      <c r="C156" s="209" t="s">
        <v>215</v>
      </c>
      <c r="D156" s="36" t="s">
        <v>27</v>
      </c>
      <c r="E156" s="207"/>
      <c r="F156" s="207"/>
      <c r="G156" s="207"/>
      <c r="H156" s="207"/>
      <c r="I156" s="207"/>
      <c r="J156" s="207"/>
      <c r="K156" s="207"/>
      <c r="L156" s="207"/>
      <c r="M156" s="207"/>
      <c r="N156" s="207"/>
      <c r="O156" s="207"/>
      <c r="P156" s="207"/>
      <c r="Q156" s="207"/>
      <c r="R156" s="207"/>
      <c r="S156" s="207"/>
      <c r="T156" s="207"/>
      <c r="U156" s="207"/>
      <c r="V156" s="207"/>
      <c r="W156" s="207"/>
      <c r="X156" s="207"/>
      <c r="Y156" s="207"/>
      <c r="Z156" s="207"/>
      <c r="AA156" s="207"/>
      <c r="AB156" s="207"/>
      <c r="AC156" s="207"/>
      <c r="AD156" s="207"/>
      <c r="AE156" s="207"/>
      <c r="AF156" s="207"/>
      <c r="AG156" s="207"/>
      <c r="AH156" s="207"/>
      <c r="AI156" s="207"/>
      <c r="AJ156" s="172"/>
    </row>
    <row r="157" spans="1:36">
      <c r="A157" s="207">
        <v>155</v>
      </c>
      <c r="B157" s="208" t="s">
        <v>203</v>
      </c>
      <c r="C157" s="211" t="s">
        <v>216</v>
      </c>
      <c r="D157" s="36" t="s">
        <v>17</v>
      </c>
      <c r="E157" s="207"/>
      <c r="F157" s="207"/>
      <c r="G157" s="207"/>
      <c r="H157" s="207"/>
      <c r="I157" s="207"/>
      <c r="J157" s="207"/>
      <c r="K157" s="207"/>
      <c r="L157" s="207"/>
      <c r="M157" s="207"/>
      <c r="N157" s="207"/>
      <c r="O157" s="207"/>
      <c r="P157" s="207"/>
      <c r="Q157" s="207"/>
      <c r="R157" s="207"/>
      <c r="S157" s="207"/>
      <c r="T157" s="207"/>
      <c r="U157" s="207"/>
      <c r="V157" s="207"/>
      <c r="W157" s="207"/>
      <c r="X157" s="207"/>
      <c r="Y157" s="207"/>
      <c r="Z157" s="207"/>
      <c r="AA157" s="207"/>
      <c r="AB157" s="207"/>
      <c r="AC157" s="207"/>
      <c r="AD157" s="207"/>
      <c r="AE157" s="207"/>
      <c r="AF157" s="207"/>
      <c r="AG157" s="207"/>
      <c r="AH157" s="207"/>
      <c r="AI157" s="207"/>
      <c r="AJ157" s="172"/>
    </row>
    <row r="158" spans="1:36">
      <c r="A158" s="207">
        <v>156</v>
      </c>
      <c r="B158" s="208" t="s">
        <v>203</v>
      </c>
      <c r="C158" s="209" t="s">
        <v>217</v>
      </c>
      <c r="D158" s="36" t="s">
        <v>27</v>
      </c>
      <c r="E158" s="207"/>
      <c r="F158" s="207"/>
      <c r="G158" s="207"/>
      <c r="H158" s="207"/>
      <c r="I158" s="207"/>
      <c r="J158" s="207"/>
      <c r="K158" s="207"/>
      <c r="L158" s="207"/>
      <c r="M158" s="207"/>
      <c r="N158" s="207"/>
      <c r="O158" s="207"/>
      <c r="P158" s="207"/>
      <c r="Q158" s="207"/>
      <c r="R158" s="207"/>
      <c r="S158" s="207"/>
      <c r="T158" s="207"/>
      <c r="U158" s="207"/>
      <c r="V158" s="207"/>
      <c r="W158" s="207"/>
      <c r="X158" s="207"/>
      <c r="Y158" s="207"/>
      <c r="Z158" s="207"/>
      <c r="AA158" s="207"/>
      <c r="AB158" s="207"/>
      <c r="AC158" s="207"/>
      <c r="AD158" s="207"/>
      <c r="AE158" s="207"/>
      <c r="AF158" s="207"/>
      <c r="AG158" s="207"/>
      <c r="AH158" s="207"/>
      <c r="AI158" s="207"/>
      <c r="AJ158" s="172"/>
    </row>
    <row r="159" spans="1:36">
      <c r="A159" s="207">
        <v>157</v>
      </c>
      <c r="B159" s="208" t="s">
        <v>203</v>
      </c>
      <c r="C159" s="211" t="s">
        <v>218</v>
      </c>
      <c r="D159" s="36" t="s">
        <v>17</v>
      </c>
      <c r="E159" s="207"/>
      <c r="F159" s="207"/>
      <c r="G159" s="207"/>
      <c r="H159" s="207"/>
      <c r="I159" s="207"/>
      <c r="J159" s="207"/>
      <c r="K159" s="207"/>
      <c r="L159" s="207"/>
      <c r="M159" s="207"/>
      <c r="N159" s="207"/>
      <c r="O159" s="207"/>
      <c r="P159" s="207"/>
      <c r="Q159" s="207"/>
      <c r="R159" s="207"/>
      <c r="S159" s="207"/>
      <c r="T159" s="207"/>
      <c r="U159" s="207"/>
      <c r="V159" s="207"/>
      <c r="W159" s="207"/>
      <c r="X159" s="207"/>
      <c r="Y159" s="207"/>
      <c r="Z159" s="207"/>
      <c r="AA159" s="207"/>
      <c r="AB159" s="207"/>
      <c r="AC159" s="207"/>
      <c r="AD159" s="207"/>
      <c r="AE159" s="207"/>
      <c r="AF159" s="207"/>
      <c r="AG159" s="207"/>
      <c r="AH159" s="207"/>
      <c r="AI159" s="207"/>
      <c r="AJ159" s="172"/>
    </row>
    <row r="160" spans="1:36">
      <c r="A160" s="207">
        <v>158</v>
      </c>
      <c r="B160" s="208" t="s">
        <v>203</v>
      </c>
      <c r="C160" s="209" t="s">
        <v>219</v>
      </c>
      <c r="D160" s="36" t="s">
        <v>27</v>
      </c>
      <c r="E160" s="207"/>
      <c r="F160" s="207"/>
      <c r="G160" s="207"/>
      <c r="H160" s="207"/>
      <c r="I160" s="207"/>
      <c r="J160" s="207"/>
      <c r="K160" s="207"/>
      <c r="L160" s="207"/>
      <c r="M160" s="207"/>
      <c r="N160" s="207"/>
      <c r="O160" s="207"/>
      <c r="P160" s="207"/>
      <c r="Q160" s="207"/>
      <c r="R160" s="207"/>
      <c r="S160" s="207"/>
      <c r="T160" s="207"/>
      <c r="U160" s="207"/>
      <c r="V160" s="207"/>
      <c r="W160" s="207"/>
      <c r="X160" s="207"/>
      <c r="Y160" s="207"/>
      <c r="Z160" s="207"/>
      <c r="AA160" s="207"/>
      <c r="AB160" s="207"/>
      <c r="AC160" s="207"/>
      <c r="AD160" s="207"/>
      <c r="AE160" s="207"/>
      <c r="AF160" s="207"/>
      <c r="AG160" s="207"/>
      <c r="AH160" s="207"/>
      <c r="AI160" s="207"/>
      <c r="AJ160" s="172"/>
    </row>
    <row r="161" spans="1:36">
      <c r="A161" s="207">
        <v>159</v>
      </c>
      <c r="B161" s="208" t="s">
        <v>203</v>
      </c>
      <c r="C161" s="211" t="s">
        <v>220</v>
      </c>
      <c r="D161" s="36" t="s">
        <v>221</v>
      </c>
      <c r="E161" s="207"/>
      <c r="F161" s="207"/>
      <c r="G161" s="207"/>
      <c r="H161" s="207"/>
      <c r="I161" s="207"/>
      <c r="J161" s="207"/>
      <c r="K161" s="207"/>
      <c r="L161" s="207"/>
      <c r="M161" s="207"/>
      <c r="N161" s="207"/>
      <c r="O161" s="207"/>
      <c r="P161" s="207"/>
      <c r="Q161" s="207"/>
      <c r="R161" s="207"/>
      <c r="S161" s="207"/>
      <c r="T161" s="207"/>
      <c r="U161" s="207"/>
      <c r="V161" s="207"/>
      <c r="W161" s="207"/>
      <c r="X161" s="207"/>
      <c r="Y161" s="207"/>
      <c r="Z161" s="207"/>
      <c r="AA161" s="207"/>
      <c r="AB161" s="207"/>
      <c r="AC161" s="207"/>
      <c r="AD161" s="207"/>
      <c r="AE161" s="207"/>
      <c r="AF161" s="207"/>
      <c r="AG161" s="207"/>
      <c r="AH161" s="207"/>
      <c r="AI161" s="207"/>
      <c r="AJ161" s="172"/>
    </row>
    <row r="162" spans="1:36">
      <c r="A162" s="207">
        <v>160</v>
      </c>
      <c r="B162" s="208" t="s">
        <v>203</v>
      </c>
      <c r="C162" s="211" t="s">
        <v>222</v>
      </c>
      <c r="D162" s="36" t="s">
        <v>17</v>
      </c>
      <c r="E162" s="207"/>
      <c r="F162" s="207"/>
      <c r="G162" s="207"/>
      <c r="H162" s="207"/>
      <c r="I162" s="207"/>
      <c r="J162" s="207"/>
      <c r="K162" s="207"/>
      <c r="L162" s="207"/>
      <c r="M162" s="207"/>
      <c r="N162" s="207"/>
      <c r="O162" s="207"/>
      <c r="P162" s="207"/>
      <c r="Q162" s="207"/>
      <c r="R162" s="207"/>
      <c r="S162" s="207"/>
      <c r="T162" s="207"/>
      <c r="U162" s="207"/>
      <c r="V162" s="207"/>
      <c r="W162" s="207"/>
      <c r="X162" s="207"/>
      <c r="Y162" s="207"/>
      <c r="Z162" s="207"/>
      <c r="AA162" s="207"/>
      <c r="AB162" s="207"/>
      <c r="AC162" s="207"/>
      <c r="AD162" s="207"/>
      <c r="AE162" s="207"/>
      <c r="AF162" s="207"/>
      <c r="AG162" s="207"/>
      <c r="AH162" s="207"/>
      <c r="AI162" s="207"/>
      <c r="AJ162" s="172"/>
    </row>
    <row r="163" spans="1:36">
      <c r="A163" s="207">
        <v>161</v>
      </c>
      <c r="B163" s="208" t="s">
        <v>203</v>
      </c>
      <c r="C163" s="209" t="s">
        <v>223</v>
      </c>
      <c r="D163" s="36" t="s">
        <v>27</v>
      </c>
      <c r="E163" s="207"/>
      <c r="F163" s="207"/>
      <c r="G163" s="207"/>
      <c r="H163" s="207"/>
      <c r="I163" s="207"/>
      <c r="J163" s="207"/>
      <c r="K163" s="207"/>
      <c r="L163" s="207"/>
      <c r="M163" s="207"/>
      <c r="N163" s="207"/>
      <c r="O163" s="207"/>
      <c r="P163" s="207"/>
      <c r="Q163" s="207"/>
      <c r="R163" s="207"/>
      <c r="S163" s="207"/>
      <c r="T163" s="207"/>
      <c r="U163" s="207"/>
      <c r="V163" s="207"/>
      <c r="W163" s="207"/>
      <c r="X163" s="207"/>
      <c r="Y163" s="207"/>
      <c r="Z163" s="207"/>
      <c r="AA163" s="207"/>
      <c r="AB163" s="207"/>
      <c r="AC163" s="207"/>
      <c r="AD163" s="207"/>
      <c r="AE163" s="207"/>
      <c r="AF163" s="207"/>
      <c r="AG163" s="207"/>
      <c r="AH163" s="207"/>
      <c r="AI163" s="207"/>
      <c r="AJ163" s="172"/>
    </row>
    <row r="164" spans="1:36">
      <c r="A164" s="207">
        <v>162</v>
      </c>
      <c r="B164" s="208" t="s">
        <v>203</v>
      </c>
      <c r="C164" s="209" t="s">
        <v>224</v>
      </c>
      <c r="D164" s="36" t="s">
        <v>27</v>
      </c>
      <c r="E164" s="207"/>
      <c r="F164" s="207"/>
      <c r="G164" s="207"/>
      <c r="H164" s="207"/>
      <c r="I164" s="207"/>
      <c r="J164" s="207"/>
      <c r="K164" s="207"/>
      <c r="L164" s="207"/>
      <c r="M164" s="207"/>
      <c r="N164" s="207"/>
      <c r="O164" s="207"/>
      <c r="P164" s="207"/>
      <c r="Q164" s="207"/>
      <c r="R164" s="207"/>
      <c r="S164" s="207"/>
      <c r="T164" s="207"/>
      <c r="U164" s="207"/>
      <c r="V164" s="207"/>
      <c r="W164" s="207"/>
      <c r="X164" s="207"/>
      <c r="Y164" s="207"/>
      <c r="Z164" s="207"/>
      <c r="AA164" s="207"/>
      <c r="AB164" s="207"/>
      <c r="AC164" s="207"/>
      <c r="AD164" s="207"/>
      <c r="AE164" s="207"/>
      <c r="AF164" s="207"/>
      <c r="AG164" s="207"/>
      <c r="AH164" s="207"/>
      <c r="AI164" s="207"/>
      <c r="AJ164" s="172"/>
    </row>
    <row r="165" spans="1:36">
      <c r="A165" s="207">
        <v>163</v>
      </c>
      <c r="B165" s="208" t="s">
        <v>203</v>
      </c>
      <c r="C165" s="212" t="s">
        <v>225</v>
      </c>
      <c r="D165" s="36" t="s">
        <v>27</v>
      </c>
      <c r="E165" s="207"/>
      <c r="F165" s="207"/>
      <c r="G165" s="207"/>
      <c r="H165" s="207"/>
      <c r="I165" s="207"/>
      <c r="J165" s="207"/>
      <c r="K165" s="207"/>
      <c r="L165" s="207"/>
      <c r="M165" s="207"/>
      <c r="N165" s="207"/>
      <c r="O165" s="207"/>
      <c r="P165" s="207"/>
      <c r="Q165" s="207"/>
      <c r="R165" s="207"/>
      <c r="S165" s="207"/>
      <c r="T165" s="207"/>
      <c r="U165" s="207"/>
      <c r="V165" s="207"/>
      <c r="W165" s="207"/>
      <c r="X165" s="207"/>
      <c r="Y165" s="207"/>
      <c r="Z165" s="207"/>
      <c r="AA165" s="207"/>
      <c r="AB165" s="207"/>
      <c r="AC165" s="207"/>
      <c r="AD165" s="207"/>
      <c r="AE165" s="207"/>
      <c r="AF165" s="207"/>
      <c r="AG165" s="207"/>
      <c r="AH165" s="207"/>
      <c r="AI165" s="207"/>
      <c r="AJ165" s="172"/>
    </row>
    <row r="166" spans="1:36">
      <c r="A166" s="207">
        <v>164</v>
      </c>
      <c r="B166" s="208" t="s">
        <v>203</v>
      </c>
      <c r="C166" s="209" t="s">
        <v>226</v>
      </c>
      <c r="D166" s="36" t="s">
        <v>27</v>
      </c>
      <c r="E166" s="207"/>
      <c r="F166" s="207"/>
      <c r="G166" s="207"/>
      <c r="H166" s="207"/>
      <c r="I166" s="207"/>
      <c r="J166" s="207"/>
      <c r="K166" s="207"/>
      <c r="L166" s="207"/>
      <c r="M166" s="207"/>
      <c r="N166" s="207"/>
      <c r="O166" s="207"/>
      <c r="P166" s="207"/>
      <c r="Q166" s="207"/>
      <c r="R166" s="207"/>
      <c r="S166" s="207"/>
      <c r="T166" s="207"/>
      <c r="U166" s="207"/>
      <c r="V166" s="207"/>
      <c r="W166" s="207"/>
      <c r="X166" s="207"/>
      <c r="Y166" s="207"/>
      <c r="Z166" s="207"/>
      <c r="AA166" s="207"/>
      <c r="AB166" s="207"/>
      <c r="AC166" s="207"/>
      <c r="AD166" s="207"/>
      <c r="AE166" s="207"/>
      <c r="AF166" s="207"/>
      <c r="AG166" s="207"/>
      <c r="AH166" s="207"/>
      <c r="AI166" s="207"/>
      <c r="AJ166" s="172"/>
    </row>
    <row r="167" spans="1:36">
      <c r="A167" s="207">
        <v>165</v>
      </c>
      <c r="B167" s="208" t="s">
        <v>203</v>
      </c>
      <c r="C167" s="212" t="s">
        <v>227</v>
      </c>
      <c r="D167" s="36" t="s">
        <v>27</v>
      </c>
      <c r="E167" s="207"/>
      <c r="F167" s="207"/>
      <c r="G167" s="207"/>
      <c r="H167" s="207"/>
      <c r="I167" s="207"/>
      <c r="J167" s="207"/>
      <c r="K167" s="207"/>
      <c r="L167" s="207"/>
      <c r="M167" s="207"/>
      <c r="N167" s="207"/>
      <c r="O167" s="207"/>
      <c r="P167" s="207"/>
      <c r="Q167" s="207"/>
      <c r="R167" s="207"/>
      <c r="S167" s="207"/>
      <c r="T167" s="207"/>
      <c r="U167" s="207"/>
      <c r="V167" s="207"/>
      <c r="W167" s="207"/>
      <c r="X167" s="207"/>
      <c r="Y167" s="207"/>
      <c r="Z167" s="207"/>
      <c r="AA167" s="207"/>
      <c r="AB167" s="207"/>
      <c r="AC167" s="207"/>
      <c r="AD167" s="207"/>
      <c r="AE167" s="207"/>
      <c r="AF167" s="207"/>
      <c r="AG167" s="207"/>
      <c r="AH167" s="207"/>
      <c r="AI167" s="207"/>
      <c r="AJ167" s="172"/>
    </row>
    <row r="168" spans="1:36">
      <c r="A168" s="207">
        <v>166</v>
      </c>
      <c r="B168" s="208" t="s">
        <v>229</v>
      </c>
      <c r="C168" s="209" t="s">
        <v>243</v>
      </c>
      <c r="D168" s="36" t="s">
        <v>11</v>
      </c>
      <c r="E168" s="207"/>
      <c r="F168" s="207"/>
      <c r="G168" s="207"/>
      <c r="H168" s="207"/>
      <c r="I168" s="207"/>
      <c r="J168" s="207"/>
      <c r="K168" s="207"/>
      <c r="L168" s="207"/>
      <c r="M168" s="207"/>
      <c r="N168" s="207"/>
      <c r="O168" s="207"/>
      <c r="P168" s="207"/>
      <c r="Q168" s="207"/>
      <c r="R168" s="207"/>
      <c r="S168" s="207"/>
      <c r="T168" s="207"/>
      <c r="U168" s="207"/>
      <c r="V168" s="207"/>
      <c r="W168" s="207"/>
      <c r="X168" s="207"/>
      <c r="Y168" s="207"/>
      <c r="Z168" s="207"/>
      <c r="AA168" s="207"/>
      <c r="AB168" s="207"/>
      <c r="AC168" s="207"/>
      <c r="AD168" s="207"/>
      <c r="AE168" s="207"/>
      <c r="AF168" s="207"/>
      <c r="AG168" s="207"/>
      <c r="AH168" s="207"/>
      <c r="AI168" s="207"/>
      <c r="AJ168" s="172"/>
    </row>
    <row r="169" spans="1:36">
      <c r="A169" s="207">
        <v>167</v>
      </c>
      <c r="B169" s="208" t="s">
        <v>229</v>
      </c>
      <c r="C169" s="209" t="s">
        <v>245</v>
      </c>
      <c r="D169" s="36" t="s">
        <v>27</v>
      </c>
      <c r="E169" s="207"/>
      <c r="F169" s="207"/>
      <c r="G169" s="207"/>
      <c r="H169" s="207"/>
      <c r="I169" s="207"/>
      <c r="J169" s="207"/>
      <c r="K169" s="207"/>
      <c r="L169" s="207"/>
      <c r="M169" s="207"/>
      <c r="N169" s="207"/>
      <c r="O169" s="207"/>
      <c r="P169" s="207"/>
      <c r="Q169" s="207"/>
      <c r="R169" s="207"/>
      <c r="S169" s="207"/>
      <c r="T169" s="207"/>
      <c r="U169" s="207"/>
      <c r="V169" s="207"/>
      <c r="W169" s="207"/>
      <c r="X169" s="207"/>
      <c r="Y169" s="207"/>
      <c r="Z169" s="207"/>
      <c r="AA169" s="207"/>
      <c r="AB169" s="207"/>
      <c r="AC169" s="207"/>
      <c r="AD169" s="207"/>
      <c r="AE169" s="207"/>
      <c r="AF169" s="207"/>
      <c r="AG169" s="207"/>
      <c r="AH169" s="207"/>
      <c r="AI169" s="207"/>
      <c r="AJ169" s="172"/>
    </row>
    <row r="170" spans="1:36">
      <c r="A170" s="207">
        <v>168</v>
      </c>
      <c r="B170" s="208" t="s">
        <v>229</v>
      </c>
      <c r="C170" s="209" t="s">
        <v>247</v>
      </c>
      <c r="D170" s="36" t="s">
        <v>27</v>
      </c>
      <c r="E170" s="207"/>
      <c r="F170" s="207"/>
      <c r="G170" s="207"/>
      <c r="H170" s="207"/>
      <c r="I170" s="207"/>
      <c r="J170" s="207"/>
      <c r="K170" s="207"/>
      <c r="L170" s="207"/>
      <c r="M170" s="207"/>
      <c r="N170" s="207"/>
      <c r="O170" s="207"/>
      <c r="P170" s="207"/>
      <c r="Q170" s="207"/>
      <c r="R170" s="207"/>
      <c r="S170" s="207"/>
      <c r="T170" s="207"/>
      <c r="U170" s="207"/>
      <c r="V170" s="207"/>
      <c r="W170" s="207"/>
      <c r="X170" s="207"/>
      <c r="Y170" s="207"/>
      <c r="Z170" s="207"/>
      <c r="AA170" s="207"/>
      <c r="AB170" s="207"/>
      <c r="AC170" s="207"/>
      <c r="AD170" s="207"/>
      <c r="AE170" s="207"/>
      <c r="AF170" s="207"/>
      <c r="AG170" s="207"/>
      <c r="AH170" s="207"/>
      <c r="AI170" s="207"/>
      <c r="AJ170" s="172"/>
    </row>
    <row r="171" spans="1:36">
      <c r="A171" s="207">
        <v>169</v>
      </c>
      <c r="B171" s="208" t="s">
        <v>249</v>
      </c>
      <c r="C171" s="212" t="s">
        <v>250</v>
      </c>
      <c r="D171" s="212" t="s">
        <v>27</v>
      </c>
      <c r="E171" s="207"/>
      <c r="F171" s="207"/>
      <c r="G171" s="207"/>
      <c r="H171" s="207"/>
      <c r="I171" s="207"/>
      <c r="J171" s="207"/>
      <c r="K171" s="207"/>
      <c r="L171" s="207"/>
      <c r="M171" s="207"/>
      <c r="N171" s="207"/>
      <c r="O171" s="207"/>
      <c r="P171" s="207"/>
      <c r="Q171" s="207"/>
      <c r="R171" s="207"/>
      <c r="S171" s="207"/>
      <c r="T171" s="207"/>
      <c r="U171" s="207"/>
      <c r="V171" s="207"/>
      <c r="W171" s="207"/>
      <c r="X171" s="207"/>
      <c r="Y171" s="207"/>
      <c r="Z171" s="207"/>
      <c r="AA171" s="207"/>
      <c r="AB171" s="207"/>
      <c r="AC171" s="207"/>
      <c r="AD171" s="207"/>
      <c r="AE171" s="207"/>
      <c r="AF171" s="207"/>
      <c r="AG171" s="207"/>
      <c r="AH171" s="207"/>
      <c r="AI171" s="207"/>
      <c r="AJ171" s="172"/>
    </row>
    <row r="172" spans="1:36">
      <c r="A172" s="207">
        <v>170</v>
      </c>
      <c r="B172" s="208" t="s">
        <v>249</v>
      </c>
      <c r="C172" s="212" t="s">
        <v>252</v>
      </c>
      <c r="D172" s="212" t="s">
        <v>27</v>
      </c>
      <c r="E172" s="207"/>
      <c r="F172" s="207"/>
      <c r="G172" s="207"/>
      <c r="H172" s="207"/>
      <c r="I172" s="207"/>
      <c r="J172" s="207"/>
      <c r="K172" s="207"/>
      <c r="L172" s="207"/>
      <c r="M172" s="207"/>
      <c r="N172" s="207"/>
      <c r="O172" s="207"/>
      <c r="P172" s="207"/>
      <c r="Q172" s="207"/>
      <c r="R172" s="207"/>
      <c r="S172" s="207"/>
      <c r="T172" s="207"/>
      <c r="U172" s="207"/>
      <c r="V172" s="207"/>
      <c r="W172" s="207"/>
      <c r="X172" s="207"/>
      <c r="Y172" s="207"/>
      <c r="Z172" s="207"/>
      <c r="AA172" s="207"/>
      <c r="AB172" s="207"/>
      <c r="AC172" s="207"/>
      <c r="AD172" s="207"/>
      <c r="AE172" s="207"/>
      <c r="AF172" s="207"/>
      <c r="AG172" s="207"/>
      <c r="AH172" s="207"/>
      <c r="AI172" s="207"/>
      <c r="AJ172" s="172"/>
    </row>
    <row r="173" spans="1:36">
      <c r="A173" s="207">
        <v>171</v>
      </c>
      <c r="B173" s="208" t="s">
        <v>249</v>
      </c>
      <c r="C173" s="212" t="s">
        <v>254</v>
      </c>
      <c r="D173" s="212" t="s">
        <v>27</v>
      </c>
      <c r="E173" s="207"/>
      <c r="F173" s="207"/>
      <c r="G173" s="207"/>
      <c r="H173" s="207"/>
      <c r="I173" s="207"/>
      <c r="J173" s="207"/>
      <c r="K173" s="207"/>
      <c r="L173" s="207"/>
      <c r="M173" s="207"/>
      <c r="N173" s="207"/>
      <c r="O173" s="207"/>
      <c r="P173" s="207"/>
      <c r="Q173" s="207"/>
      <c r="R173" s="207"/>
      <c r="S173" s="207"/>
      <c r="T173" s="207"/>
      <c r="U173" s="207"/>
      <c r="V173" s="207"/>
      <c r="W173" s="207"/>
      <c r="X173" s="207"/>
      <c r="Y173" s="207"/>
      <c r="Z173" s="207"/>
      <c r="AA173" s="207"/>
      <c r="AB173" s="207"/>
      <c r="AC173" s="207"/>
      <c r="AD173" s="207"/>
      <c r="AE173" s="207"/>
      <c r="AF173" s="207"/>
      <c r="AG173" s="207"/>
      <c r="AH173" s="207"/>
      <c r="AI173" s="207"/>
      <c r="AJ173" s="172"/>
    </row>
    <row r="174" spans="1:36">
      <c r="A174" s="207">
        <v>172</v>
      </c>
      <c r="B174" s="208" t="s">
        <v>249</v>
      </c>
      <c r="C174" s="212" t="s">
        <v>256</v>
      </c>
      <c r="D174" s="212" t="s">
        <v>27</v>
      </c>
      <c r="E174" s="207"/>
      <c r="F174" s="207"/>
      <c r="G174" s="207"/>
      <c r="H174" s="207"/>
      <c r="I174" s="207"/>
      <c r="J174" s="207"/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7"/>
      <c r="X174" s="207"/>
      <c r="Y174" s="207"/>
      <c r="Z174" s="207"/>
      <c r="AA174" s="207"/>
      <c r="AB174" s="207"/>
      <c r="AC174" s="207"/>
      <c r="AD174" s="207"/>
      <c r="AE174" s="207"/>
      <c r="AF174" s="207"/>
      <c r="AG174" s="207"/>
      <c r="AH174" s="207"/>
      <c r="AI174" s="207"/>
      <c r="AJ174" s="172"/>
    </row>
    <row r="175" spans="1:36">
      <c r="A175" s="207">
        <v>173</v>
      </c>
      <c r="B175" s="208" t="s">
        <v>249</v>
      </c>
      <c r="C175" s="212" t="s">
        <v>258</v>
      </c>
      <c r="D175" s="212" t="s">
        <v>27</v>
      </c>
      <c r="E175" s="207"/>
      <c r="F175" s="207"/>
      <c r="G175" s="207"/>
      <c r="H175" s="207"/>
      <c r="I175" s="207"/>
      <c r="J175" s="207"/>
      <c r="K175" s="207"/>
      <c r="L175" s="207"/>
      <c r="M175" s="207"/>
      <c r="N175" s="207"/>
      <c r="O175" s="207"/>
      <c r="P175" s="207"/>
      <c r="Q175" s="207"/>
      <c r="R175" s="207"/>
      <c r="S175" s="207"/>
      <c r="T175" s="207"/>
      <c r="U175" s="207"/>
      <c r="V175" s="207"/>
      <c r="W175" s="207"/>
      <c r="X175" s="207"/>
      <c r="Y175" s="207"/>
      <c r="Z175" s="207"/>
      <c r="AA175" s="207"/>
      <c r="AB175" s="207"/>
      <c r="AC175" s="207"/>
      <c r="AD175" s="207"/>
      <c r="AE175" s="207"/>
      <c r="AF175" s="207"/>
      <c r="AG175" s="207"/>
      <c r="AH175" s="207"/>
      <c r="AI175" s="207"/>
      <c r="AJ175" s="172"/>
    </row>
    <row r="176" spans="1:36">
      <c r="A176" s="207">
        <v>174</v>
      </c>
      <c r="B176" s="208" t="s">
        <v>249</v>
      </c>
      <c r="C176" s="212" t="s">
        <v>260</v>
      </c>
      <c r="D176" s="212" t="s">
        <v>27</v>
      </c>
      <c r="E176" s="207"/>
      <c r="F176" s="207"/>
      <c r="G176" s="207"/>
      <c r="H176" s="207"/>
      <c r="I176" s="207"/>
      <c r="J176" s="207"/>
      <c r="K176" s="207"/>
      <c r="L176" s="207"/>
      <c r="M176" s="207"/>
      <c r="N176" s="207"/>
      <c r="O176" s="207"/>
      <c r="P176" s="207"/>
      <c r="Q176" s="207"/>
      <c r="R176" s="207"/>
      <c r="S176" s="207"/>
      <c r="T176" s="207"/>
      <c r="U176" s="207"/>
      <c r="V176" s="207"/>
      <c r="W176" s="207"/>
      <c r="X176" s="207"/>
      <c r="Y176" s="207"/>
      <c r="Z176" s="207"/>
      <c r="AA176" s="207"/>
      <c r="AB176" s="207"/>
      <c r="AC176" s="207"/>
      <c r="AD176" s="207"/>
      <c r="AE176" s="207"/>
      <c r="AF176" s="207"/>
      <c r="AG176" s="207"/>
      <c r="AH176" s="207"/>
      <c r="AI176" s="207"/>
      <c r="AJ176" s="172"/>
    </row>
    <row r="177" spans="1:36">
      <c r="A177" s="207">
        <v>175</v>
      </c>
      <c r="B177" s="208" t="s">
        <v>249</v>
      </c>
      <c r="C177" s="212" t="s">
        <v>262</v>
      </c>
      <c r="D177" s="212" t="s">
        <v>27</v>
      </c>
      <c r="E177" s="207"/>
      <c r="F177" s="207"/>
      <c r="G177" s="207"/>
      <c r="H177" s="207"/>
      <c r="I177" s="207"/>
      <c r="J177" s="207"/>
      <c r="K177" s="207"/>
      <c r="L177" s="207"/>
      <c r="M177" s="207"/>
      <c r="N177" s="207"/>
      <c r="O177" s="207"/>
      <c r="P177" s="207"/>
      <c r="Q177" s="207"/>
      <c r="R177" s="207"/>
      <c r="S177" s="207"/>
      <c r="T177" s="207"/>
      <c r="U177" s="207"/>
      <c r="V177" s="207"/>
      <c r="W177" s="207"/>
      <c r="X177" s="207"/>
      <c r="Y177" s="207"/>
      <c r="Z177" s="207"/>
      <c r="AA177" s="207"/>
      <c r="AB177" s="207"/>
      <c r="AC177" s="207"/>
      <c r="AD177" s="207"/>
      <c r="AE177" s="207"/>
      <c r="AF177" s="207"/>
      <c r="AG177" s="207"/>
      <c r="AH177" s="207"/>
      <c r="AI177" s="207"/>
      <c r="AJ177" s="172"/>
    </row>
    <row r="178" spans="1:36">
      <c r="A178" s="207">
        <v>176</v>
      </c>
      <c r="B178" s="208" t="s">
        <v>264</v>
      </c>
      <c r="C178" s="212" t="s">
        <v>269</v>
      </c>
      <c r="D178" s="36" t="s">
        <v>11</v>
      </c>
      <c r="E178" s="207"/>
      <c r="F178" s="207"/>
      <c r="G178" s="207"/>
      <c r="H178" s="207"/>
      <c r="I178" s="207"/>
      <c r="J178" s="207"/>
      <c r="K178" s="207"/>
      <c r="L178" s="207"/>
      <c r="M178" s="207"/>
      <c r="N178" s="207"/>
      <c r="O178" s="207"/>
      <c r="P178" s="207"/>
      <c r="Q178" s="207"/>
      <c r="R178" s="207"/>
      <c r="S178" s="207"/>
      <c r="T178" s="207"/>
      <c r="U178" s="207"/>
      <c r="V178" s="207"/>
      <c r="W178" s="207"/>
      <c r="X178" s="207"/>
      <c r="Y178" s="207"/>
      <c r="Z178" s="207"/>
      <c r="AA178" s="207"/>
      <c r="AB178" s="207"/>
      <c r="AC178" s="207"/>
      <c r="AD178" s="207"/>
      <c r="AE178" s="207"/>
      <c r="AF178" s="207"/>
      <c r="AG178" s="207"/>
      <c r="AH178" s="207"/>
      <c r="AI178" s="207"/>
      <c r="AJ178" s="172"/>
    </row>
    <row r="179" spans="1:36">
      <c r="A179" s="207">
        <v>177</v>
      </c>
      <c r="B179" s="208" t="s">
        <v>264</v>
      </c>
      <c r="C179" s="212" t="s">
        <v>271</v>
      </c>
      <c r="D179" s="212" t="s">
        <v>27</v>
      </c>
      <c r="E179" s="207"/>
      <c r="F179" s="207"/>
      <c r="G179" s="207"/>
      <c r="H179" s="207"/>
      <c r="I179" s="207"/>
      <c r="J179" s="207"/>
      <c r="K179" s="207"/>
      <c r="L179" s="207"/>
      <c r="M179" s="207"/>
      <c r="N179" s="207"/>
      <c r="O179" s="207"/>
      <c r="P179" s="207"/>
      <c r="Q179" s="207"/>
      <c r="R179" s="207"/>
      <c r="S179" s="207"/>
      <c r="T179" s="207"/>
      <c r="U179" s="207"/>
      <c r="V179" s="207"/>
      <c r="W179" s="207"/>
      <c r="X179" s="207"/>
      <c r="Y179" s="207"/>
      <c r="Z179" s="207"/>
      <c r="AA179" s="207"/>
      <c r="AB179" s="207"/>
      <c r="AC179" s="207"/>
      <c r="AD179" s="207"/>
      <c r="AE179" s="207"/>
      <c r="AF179" s="207"/>
      <c r="AG179" s="207"/>
      <c r="AH179" s="207"/>
      <c r="AI179" s="207"/>
      <c r="AJ179" s="172"/>
    </row>
    <row r="318" ht="14.25"/>
    <row r="319" spans="20:21">
      <c r="T319" s="213"/>
      <c r="U319" s="214"/>
    </row>
    <row r="320" spans="20:21">
      <c r="T320" s="215"/>
      <c r="U320" s="216"/>
    </row>
    <row r="321" spans="11:21">
      <c r="T321" s="215"/>
      <c r="U321" s="216"/>
    </row>
    <row r="323" spans="11:21">
      <c r="N323" s="214"/>
    </row>
    <row r="324" spans="11:21">
      <c r="N324" s="216"/>
    </row>
    <row r="325" spans="11:21">
      <c r="N325" s="216"/>
    </row>
    <row r="326" spans="11:21">
      <c r="N326" s="216"/>
    </row>
    <row r="327" spans="11:21">
      <c r="K327" s="213"/>
      <c r="L327" s="214"/>
      <c r="R327" s="213"/>
      <c r="S327" s="214"/>
    </row>
    <row r="328" spans="11:21">
      <c r="K328" s="215"/>
      <c r="L328" s="216"/>
      <c r="R328" s="215"/>
      <c r="S328" s="216"/>
    </row>
    <row r="329" spans="11:21">
      <c r="K329" s="215"/>
      <c r="L329" s="216"/>
      <c r="R329" s="215"/>
      <c r="S329" s="216"/>
    </row>
    <row r="330" spans="11:21">
      <c r="K330" s="215"/>
      <c r="L330" s="216"/>
      <c r="R330" s="215"/>
      <c r="S330" s="216"/>
    </row>
    <row r="331" spans="11:21">
      <c r="R331" s="213"/>
      <c r="S331" s="214"/>
    </row>
    <row r="332" spans="11:21">
      <c r="R332" s="215"/>
      <c r="S332" s="216"/>
    </row>
    <row r="333" spans="11:21">
      <c r="R333" s="215"/>
      <c r="S333" s="216"/>
    </row>
    <row r="334" ht="14.25" spans="11:21">
      <c r="R334" s="213"/>
      <c r="S334" s="214"/>
    </row>
    <row r="335" spans="11:21">
      <c r="K335" s="217"/>
      <c r="L335" s="218"/>
      <c r="R335" s="215"/>
      <c r="S335" s="216"/>
    </row>
    <row r="336" spans="11:21">
      <c r="K336" s="219"/>
      <c r="L336" s="220"/>
      <c r="R336" s="215"/>
      <c r="S336" s="216"/>
    </row>
    <row r="337" spans="11:19">
      <c r="K337" s="219"/>
      <c r="L337" s="220"/>
      <c r="R337" s="215"/>
      <c r="S337" s="216"/>
    </row>
    <row r="338" spans="11:19">
      <c r="R338" s="215"/>
      <c r="S338" s="216"/>
    </row>
    <row r="339" spans="11:19">
      <c r="R339" s="215"/>
      <c r="S339" s="216"/>
    </row>
    <row r="340" spans="11:19">
      <c r="R340" s="215"/>
      <c r="S340" s="216"/>
    </row>
    <row r="341" spans="11:19">
      <c r="R341" s="215"/>
      <c r="S341" s="216"/>
    </row>
    <row r="342" spans="11:19">
      <c r="R342" s="215"/>
      <c r="S342" s="216"/>
    </row>
    <row r="343" spans="11:19">
      <c r="R343" s="215"/>
      <c r="S343" s="216"/>
    </row>
    <row r="344" spans="11:19">
      <c r="R344" s="213"/>
      <c r="S344" s="214"/>
    </row>
    <row r="345" spans="11:19">
      <c r="R345" s="221"/>
      <c r="S345" s="222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B2:B179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3"/>
  <sheetViews>
    <sheetView topLeftCell="A178" workbookViewId="0">
      <selection activeCell="D190" sqref="D190"/>
    </sheetView>
  </sheetViews>
  <sheetFormatPr defaultColWidth="8.89166666666667" defaultRowHeight="13.5"/>
  <cols>
    <col min="1" max="1" width="22.4416666666667" customWidth="1"/>
    <col min="2" max="2" width="28.8916666666667" customWidth="1"/>
    <col min="16" max="16" width="12.1083333333333" customWidth="1"/>
  </cols>
  <sheetData>
    <row r="1" ht="26.25" spans="1:21">
      <c r="A1" s="46" t="s">
        <v>309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S1" s="48" t="s">
        <v>310</v>
      </c>
      <c r="T1" s="49" t="s">
        <v>311</v>
      </c>
      <c r="U1" t="s">
        <v>312</v>
      </c>
    </row>
    <row r="2" ht="14.25" spans="1:21">
      <c r="A2" s="50" t="s">
        <v>313</v>
      </c>
      <c r="B2" s="51" t="s">
        <v>314</v>
      </c>
      <c r="C2" s="51" t="s">
        <v>307</v>
      </c>
      <c r="D2" s="51" t="s">
        <v>315</v>
      </c>
      <c r="E2" s="51" t="s">
        <v>316</v>
      </c>
      <c r="F2" s="51" t="s">
        <v>317</v>
      </c>
      <c r="G2" s="51" t="s">
        <v>318</v>
      </c>
      <c r="H2" s="51" t="s">
        <v>319</v>
      </c>
      <c r="I2" s="51" t="s">
        <v>320</v>
      </c>
      <c r="J2" s="51" t="s">
        <v>321</v>
      </c>
      <c r="K2" s="51" t="s">
        <v>322</v>
      </c>
      <c r="L2" s="51" t="s">
        <v>323</v>
      </c>
      <c r="M2" s="51" t="s">
        <v>324</v>
      </c>
      <c r="N2" s="51" t="s">
        <v>325</v>
      </c>
      <c r="O2" s="51" t="s">
        <v>326</v>
      </c>
      <c r="P2" s="51" t="s">
        <v>327</v>
      </c>
      <c r="Q2" s="52" t="s">
        <v>328</v>
      </c>
      <c r="S2" t="s">
        <v>329</v>
      </c>
    </row>
    <row r="3" ht="15" spans="1:21">
      <c r="A3" s="53"/>
      <c r="B3" s="54"/>
      <c r="C3" s="54"/>
      <c r="D3" s="54">
        <f>'[1]中国环保（月 年）度生产指标汇总'!D3</f>
        <v>31</v>
      </c>
      <c r="E3" s="54">
        <f>'[1]中国环保（月 年）度生产指标汇总'!E3</f>
        <v>28</v>
      </c>
      <c r="F3" s="54">
        <f>'[1]中国环保（月 年）度生产指标汇总'!F3</f>
        <v>31</v>
      </c>
      <c r="G3" s="54">
        <f>'[1]中国环保（月 年）度生产指标汇总'!G3</f>
        <v>30</v>
      </c>
      <c r="H3" s="54">
        <f>'[1]中国环保（月 年）度生产指标汇总'!H3</f>
        <v>31</v>
      </c>
      <c r="I3" s="54">
        <f>'[1]中国环保（月 年）度生产指标汇总'!I3</f>
        <v>30</v>
      </c>
      <c r="J3" s="54">
        <f>'[1]中国环保（月 年）度生产指标汇总'!J3</f>
        <v>31</v>
      </c>
      <c r="K3" s="54">
        <f>'[1]中国环保（月 年）度生产指标汇总'!K3</f>
        <v>31</v>
      </c>
      <c r="L3" s="54">
        <f>'[1]中国环保（月 年）度生产指标汇总'!L3</f>
        <v>30</v>
      </c>
      <c r="M3" s="54">
        <f>'[1]中国环保（月 年）度生产指标汇总'!M3</f>
        <v>31</v>
      </c>
      <c r="N3" s="54">
        <f>'[1]中国环保（月 年）度生产指标汇总'!N3</f>
        <v>30</v>
      </c>
      <c r="O3" s="54">
        <f>'[1]中国环保（月 年）度生产指标汇总'!O3</f>
        <v>31</v>
      </c>
      <c r="P3" s="7" t="s">
        <v>330</v>
      </c>
      <c r="Q3" s="8" t="s">
        <v>330</v>
      </c>
    </row>
    <row r="4" spans="1:21">
      <c r="A4" s="55" t="s">
        <v>331</v>
      </c>
      <c r="B4" s="56" t="s">
        <v>332</v>
      </c>
      <c r="C4" s="57" t="s">
        <v>333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9"/>
      <c r="Q4" s="60"/>
    </row>
    <row r="5" spans="1:21">
      <c r="A5" s="61"/>
      <c r="B5" s="62" t="s">
        <v>334</v>
      </c>
      <c r="C5" s="63" t="s">
        <v>335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5"/>
      <c r="Q5" s="66"/>
    </row>
    <row r="6" spans="1:21">
      <c r="A6" s="61"/>
      <c r="B6" s="62" t="s">
        <v>336</v>
      </c>
      <c r="C6" s="63" t="s">
        <v>337</v>
      </c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7"/>
      <c r="Q6" s="68"/>
    </row>
    <row r="7" spans="1:21">
      <c r="A7" s="61"/>
      <c r="B7" s="62" t="s">
        <v>338</v>
      </c>
      <c r="C7" s="63" t="s">
        <v>333</v>
      </c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5"/>
      <c r="Q7" s="66"/>
    </row>
    <row r="8" spans="1:21">
      <c r="A8" s="61"/>
      <c r="B8" s="62" t="s">
        <v>331</v>
      </c>
      <c r="C8" s="69" t="s">
        <v>339</v>
      </c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5"/>
      <c r="Q8" s="66"/>
    </row>
    <row r="9" spans="1:21">
      <c r="A9" s="70"/>
      <c r="B9" s="71" t="s">
        <v>340</v>
      </c>
      <c r="C9" s="72" t="s">
        <v>341</v>
      </c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4"/>
      <c r="Q9" s="75"/>
    </row>
    <row r="10" ht="14.25" spans="1:21">
      <c r="A10" s="70"/>
      <c r="B10" s="71" t="s">
        <v>342</v>
      </c>
      <c r="C10" s="72" t="s">
        <v>343</v>
      </c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4"/>
      <c r="Q10" s="75"/>
    </row>
    <row r="11" spans="1:21">
      <c r="A11" s="76" t="s">
        <v>344</v>
      </c>
      <c r="B11" s="77" t="s">
        <v>345</v>
      </c>
      <c r="C11" s="78" t="s">
        <v>346</v>
      </c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60"/>
    </row>
    <row r="12" spans="1:21">
      <c r="A12" s="79"/>
      <c r="B12" s="80" t="s">
        <v>347</v>
      </c>
      <c r="C12" s="81" t="s">
        <v>346</v>
      </c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6"/>
    </row>
    <row r="13" spans="1:21">
      <c r="A13" s="79"/>
      <c r="B13" s="80" t="s">
        <v>348</v>
      </c>
      <c r="C13" s="81" t="s">
        <v>346</v>
      </c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6"/>
    </row>
    <row r="14" spans="1:21">
      <c r="A14" s="79"/>
      <c r="B14" s="80" t="s">
        <v>349</v>
      </c>
      <c r="C14" s="81" t="s">
        <v>346</v>
      </c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6"/>
    </row>
    <row r="15" spans="1:21">
      <c r="A15" s="79"/>
      <c r="B15" s="82" t="s">
        <v>350</v>
      </c>
      <c r="C15" s="81" t="s">
        <v>351</v>
      </c>
      <c r="D15" s="65">
        <f>D11/D3</f>
        <v>0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6"/>
    </row>
    <row r="16" spans="1:21">
      <c r="A16" s="79"/>
      <c r="B16" s="82" t="s">
        <v>352</v>
      </c>
      <c r="C16" s="83" t="s">
        <v>17</v>
      </c>
      <c r="D16" s="84" t="e">
        <f>D11/D82/D5</f>
        <v>#DIV/0!</v>
      </c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5"/>
    </row>
    <row r="17" spans="1:17">
      <c r="A17" s="79"/>
      <c r="B17" s="82" t="s">
        <v>353</v>
      </c>
      <c r="C17" s="81" t="s">
        <v>351</v>
      </c>
      <c r="D17" s="65">
        <f>D12/D3</f>
        <v>0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6"/>
    </row>
    <row r="18" spans="1:17">
      <c r="A18" s="79"/>
      <c r="B18" s="82" t="s">
        <v>16</v>
      </c>
      <c r="C18" s="83" t="s">
        <v>17</v>
      </c>
      <c r="D18" s="84" t="e">
        <f>(D11-D12+D13)/D11</f>
        <v>#DIV/0!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5"/>
    </row>
    <row r="19" spans="1:17">
      <c r="A19" s="79"/>
      <c r="B19" s="86" t="s">
        <v>354</v>
      </c>
      <c r="C19" s="87" t="s">
        <v>355</v>
      </c>
      <c r="D19" s="65" t="e">
        <f>D11/D36*10000</f>
        <v>#DIV/0!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6"/>
    </row>
    <row r="20" spans="1:17">
      <c r="A20" s="79"/>
      <c r="B20" s="86" t="s">
        <v>356</v>
      </c>
      <c r="C20" s="87" t="s">
        <v>355</v>
      </c>
      <c r="D20" s="65" t="e">
        <f>D12/D36*10000</f>
        <v>#DIV/0!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6"/>
    </row>
    <row r="21" spans="1:17">
      <c r="A21" s="79"/>
      <c r="B21" s="82" t="s">
        <v>357</v>
      </c>
      <c r="C21" s="81" t="s">
        <v>358</v>
      </c>
      <c r="D21" s="65" t="e">
        <f>D11/D37*10000</f>
        <v>#DIV/0!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6"/>
    </row>
    <row r="22" ht="14.25" spans="1:17">
      <c r="A22" s="88"/>
      <c r="B22" s="89" t="s">
        <v>359</v>
      </c>
      <c r="C22" s="90" t="s">
        <v>358</v>
      </c>
      <c r="D22" s="91" t="e">
        <f>D12/D37*10000</f>
        <v>#DIV/0!</v>
      </c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2"/>
    </row>
    <row r="23" spans="1:17">
      <c r="A23" s="93" t="s">
        <v>360</v>
      </c>
      <c r="B23" s="94" t="s">
        <v>361</v>
      </c>
      <c r="C23" s="95" t="s">
        <v>346</v>
      </c>
      <c r="D23" s="96">
        <f>D11+(D30+D34)*D10</f>
        <v>0</v>
      </c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7"/>
    </row>
    <row r="24" spans="1:17">
      <c r="A24" s="93"/>
      <c r="B24" s="82" t="s">
        <v>362</v>
      </c>
      <c r="C24" s="81" t="s">
        <v>346</v>
      </c>
      <c r="D24" s="65" t="e">
        <f>D12+(D30+D34)*D10*(1-D18)</f>
        <v>#DIV/0!</v>
      </c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6"/>
    </row>
    <row r="25" spans="1:17">
      <c r="A25" s="93"/>
      <c r="B25" s="82" t="s">
        <v>363</v>
      </c>
      <c r="C25" s="83" t="s">
        <v>17</v>
      </c>
      <c r="D25" s="84" t="e">
        <f>(D23-D24+D13)/D23</f>
        <v>#DIV/0!</v>
      </c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5"/>
    </row>
    <row r="26" spans="1:17">
      <c r="A26" s="93"/>
      <c r="B26" s="82" t="s">
        <v>364</v>
      </c>
      <c r="C26" s="81" t="s">
        <v>358</v>
      </c>
      <c r="D26" s="65" t="e">
        <f>D23/D36*10000</f>
        <v>#DIV/0!</v>
      </c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6"/>
    </row>
    <row r="27" spans="1:17">
      <c r="A27" s="93"/>
      <c r="B27" s="82" t="s">
        <v>365</v>
      </c>
      <c r="C27" s="81" t="s">
        <v>358</v>
      </c>
      <c r="D27" s="65" t="e">
        <f>D24/D36*10000</f>
        <v>#DIV/0!</v>
      </c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6"/>
    </row>
    <row r="28" spans="1:17">
      <c r="A28" s="93"/>
      <c r="B28" s="82" t="s">
        <v>366</v>
      </c>
      <c r="C28" s="81" t="s">
        <v>358</v>
      </c>
      <c r="D28" s="65" t="e">
        <f>D23/D37*10000</f>
        <v>#DIV/0!</v>
      </c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6"/>
    </row>
    <row r="29" ht="14.25" spans="1:17">
      <c r="A29" s="93"/>
      <c r="B29" s="98" t="s">
        <v>367</v>
      </c>
      <c r="C29" s="99" t="s">
        <v>358</v>
      </c>
      <c r="D29" s="100" t="e">
        <f>D24/D37*10000</f>
        <v>#DIV/0!</v>
      </c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1"/>
    </row>
    <row r="30" spans="1:17">
      <c r="A30" s="55" t="s">
        <v>25</v>
      </c>
      <c r="B30" s="77" t="s">
        <v>368</v>
      </c>
      <c r="C30" s="78" t="s">
        <v>280</v>
      </c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9"/>
      <c r="Q30" s="60"/>
    </row>
    <row r="31" spans="1:17">
      <c r="A31" s="102"/>
      <c r="B31" s="80" t="s">
        <v>369</v>
      </c>
      <c r="C31" s="81" t="s">
        <v>370</v>
      </c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5"/>
      <c r="Q31" s="66"/>
    </row>
    <row r="32" spans="1:17">
      <c r="A32" s="102"/>
      <c r="B32" s="82" t="s">
        <v>371</v>
      </c>
      <c r="C32" s="81" t="s">
        <v>339</v>
      </c>
      <c r="D32" s="65">
        <f>D30/D3</f>
        <v>0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6"/>
    </row>
    <row r="33" spans="1:17">
      <c r="A33" s="102"/>
      <c r="B33" s="82" t="s">
        <v>372</v>
      </c>
      <c r="C33" s="81" t="s">
        <v>337</v>
      </c>
      <c r="D33" s="65">
        <f>D32/24</f>
        <v>0</v>
      </c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6"/>
    </row>
    <row r="34" spans="1:17">
      <c r="A34" s="102"/>
      <c r="B34" s="103" t="s">
        <v>373</v>
      </c>
      <c r="C34" s="87" t="s">
        <v>280</v>
      </c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5"/>
      <c r="Q34" s="66"/>
    </row>
    <row r="35" ht="14.25" spans="1:17">
      <c r="A35" s="104"/>
      <c r="B35" s="105" t="s">
        <v>374</v>
      </c>
      <c r="C35" s="106" t="s">
        <v>280</v>
      </c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8"/>
    </row>
    <row r="36" spans="1:17">
      <c r="A36" s="55" t="s">
        <v>32</v>
      </c>
      <c r="B36" s="77" t="s">
        <v>375</v>
      </c>
      <c r="C36" s="78" t="s">
        <v>280</v>
      </c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60"/>
    </row>
    <row r="37" spans="1:17">
      <c r="A37" s="102"/>
      <c r="B37" s="80" t="s">
        <v>376</v>
      </c>
      <c r="C37" s="81" t="s">
        <v>280</v>
      </c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6"/>
    </row>
    <row r="38" spans="1:17">
      <c r="A38" s="102"/>
      <c r="B38" s="82" t="s">
        <v>377</v>
      </c>
      <c r="C38" s="81" t="s">
        <v>339</v>
      </c>
      <c r="D38" s="65">
        <f>D36/D3</f>
        <v>0</v>
      </c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6"/>
    </row>
    <row r="39" spans="1:17">
      <c r="A39" s="102"/>
      <c r="B39" s="82" t="s">
        <v>378</v>
      </c>
      <c r="C39" s="81" t="s">
        <v>339</v>
      </c>
      <c r="D39" s="65">
        <f>D37/D3</f>
        <v>0</v>
      </c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6"/>
    </row>
    <row r="40" spans="1:17">
      <c r="A40" s="102"/>
      <c r="B40" s="82" t="s">
        <v>379</v>
      </c>
      <c r="C40" s="83" t="s">
        <v>17</v>
      </c>
      <c r="D40" s="84" t="e">
        <f>D38/D8</f>
        <v>#DIV/0!</v>
      </c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5"/>
    </row>
    <row r="41" spans="1:17">
      <c r="A41" s="102"/>
      <c r="B41" s="86" t="s">
        <v>380</v>
      </c>
      <c r="C41" s="83" t="s">
        <v>17</v>
      </c>
      <c r="D41" s="84" t="e">
        <f>D39/D8</f>
        <v>#DIV/0!</v>
      </c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5"/>
    </row>
    <row r="42" spans="1:17">
      <c r="A42" s="102"/>
      <c r="B42" s="86" t="s">
        <v>381</v>
      </c>
      <c r="C42" s="64" t="s">
        <v>17</v>
      </c>
      <c r="D42" s="64" t="e">
        <f>SUM(D44:D46)/D36</f>
        <v>#DIV/0!</v>
      </c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109"/>
    </row>
    <row r="43" spans="1:17">
      <c r="A43" s="102"/>
      <c r="B43" s="103" t="s">
        <v>42</v>
      </c>
      <c r="C43" s="64" t="s">
        <v>280</v>
      </c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109"/>
    </row>
    <row r="44" spans="1:17">
      <c r="A44" s="102"/>
      <c r="B44" s="103" t="s">
        <v>43</v>
      </c>
      <c r="C44" s="64" t="s">
        <v>280</v>
      </c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5"/>
    </row>
    <row r="45" spans="1:17">
      <c r="A45" s="102"/>
      <c r="B45" s="103" t="s">
        <v>44</v>
      </c>
      <c r="C45" s="64" t="s">
        <v>280</v>
      </c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109"/>
    </row>
    <row r="46" spans="1:17">
      <c r="A46" s="102"/>
      <c r="B46" s="103" t="s">
        <v>45</v>
      </c>
      <c r="C46" s="87" t="s">
        <v>280</v>
      </c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109"/>
    </row>
    <row r="47" ht="14.25" spans="1:17">
      <c r="A47" s="110"/>
      <c r="B47" s="111" t="s">
        <v>35</v>
      </c>
      <c r="C47" s="99" t="s">
        <v>280</v>
      </c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100"/>
      <c r="Q47" s="101"/>
    </row>
    <row r="48" spans="1:17">
      <c r="A48" s="55" t="s">
        <v>51</v>
      </c>
      <c r="B48" s="77" t="s">
        <v>382</v>
      </c>
      <c r="C48" s="78" t="s">
        <v>280</v>
      </c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9"/>
      <c r="Q48" s="60"/>
    </row>
    <row r="49" spans="1:17">
      <c r="A49" s="61"/>
      <c r="B49" s="80" t="s">
        <v>383</v>
      </c>
      <c r="C49" s="81" t="s">
        <v>280</v>
      </c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5"/>
      <c r="Q49" s="66"/>
    </row>
    <row r="50" spans="1:17">
      <c r="A50" s="61"/>
      <c r="B50" s="80" t="s">
        <v>60</v>
      </c>
      <c r="C50" s="81" t="s">
        <v>280</v>
      </c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5"/>
      <c r="Q50" s="66"/>
    </row>
    <row r="51" spans="1:17">
      <c r="A51" s="61"/>
      <c r="B51" s="82" t="s">
        <v>384</v>
      </c>
      <c r="C51" s="81" t="s">
        <v>339</v>
      </c>
      <c r="D51" s="64">
        <f>D48/D3</f>
        <v>0</v>
      </c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6"/>
    </row>
    <row r="52" ht="14.25" spans="1:17">
      <c r="A52" s="112"/>
      <c r="B52" s="113" t="s">
        <v>385</v>
      </c>
      <c r="C52" s="90" t="s">
        <v>339</v>
      </c>
      <c r="D52" s="107">
        <f>D49/D3</f>
        <v>0</v>
      </c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92"/>
    </row>
    <row r="53" spans="1:17">
      <c r="A53" s="114" t="s">
        <v>386</v>
      </c>
      <c r="B53" s="77" t="s">
        <v>387</v>
      </c>
      <c r="C53" s="78" t="s">
        <v>280</v>
      </c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60"/>
    </row>
    <row r="54" spans="1:17">
      <c r="A54" s="115"/>
      <c r="B54" s="82" t="s">
        <v>388</v>
      </c>
      <c r="C54" s="81" t="s">
        <v>339</v>
      </c>
      <c r="D54" s="65">
        <f>D53/D3</f>
        <v>0</v>
      </c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6"/>
    </row>
    <row r="55" spans="1:17">
      <c r="A55" s="115"/>
      <c r="B55" s="80" t="s">
        <v>75</v>
      </c>
      <c r="C55" s="81" t="s">
        <v>280</v>
      </c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6"/>
    </row>
    <row r="56" spans="1:17">
      <c r="A56" s="115"/>
      <c r="B56" s="82" t="s">
        <v>389</v>
      </c>
      <c r="C56" s="81" t="s">
        <v>339</v>
      </c>
      <c r="D56" s="65">
        <f>D55/D3</f>
        <v>0</v>
      </c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6"/>
    </row>
    <row r="57" spans="1:17">
      <c r="A57" s="115"/>
      <c r="B57" s="80" t="s">
        <v>73</v>
      </c>
      <c r="C57" s="81" t="s">
        <v>280</v>
      </c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6"/>
    </row>
    <row r="58" spans="1:17">
      <c r="A58" s="115"/>
      <c r="B58" s="82" t="s">
        <v>390</v>
      </c>
      <c r="C58" s="81" t="s">
        <v>339</v>
      </c>
      <c r="D58" s="65">
        <f>D57/D3</f>
        <v>0</v>
      </c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6"/>
    </row>
    <row r="59" spans="1:17">
      <c r="A59" s="115"/>
      <c r="B59" s="80" t="s">
        <v>391</v>
      </c>
      <c r="C59" s="81" t="s">
        <v>280</v>
      </c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6"/>
    </row>
    <row r="60" spans="1:17">
      <c r="A60" s="115"/>
      <c r="B60" s="82" t="s">
        <v>392</v>
      </c>
      <c r="C60" s="83" t="s">
        <v>17</v>
      </c>
      <c r="D60" s="84" t="e">
        <f>D59/D53</f>
        <v>#DIV/0!</v>
      </c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5"/>
    </row>
    <row r="61" spans="1:17">
      <c r="A61" s="115"/>
      <c r="B61" s="116" t="s">
        <v>79</v>
      </c>
      <c r="C61" s="81" t="s">
        <v>280</v>
      </c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6"/>
    </row>
    <row r="62" spans="1:17">
      <c r="A62" s="115"/>
      <c r="B62" s="117" t="s">
        <v>393</v>
      </c>
      <c r="C62" s="83" t="s">
        <v>17</v>
      </c>
      <c r="D62" s="84" t="e">
        <f>D61/D57</f>
        <v>#DIV/0!</v>
      </c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5"/>
    </row>
    <row r="63" spans="1:17">
      <c r="A63" s="115"/>
      <c r="B63" s="86" t="s">
        <v>394</v>
      </c>
      <c r="C63" s="81" t="s">
        <v>280</v>
      </c>
      <c r="D63" s="64">
        <f>D61+D59</f>
        <v>0</v>
      </c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109"/>
    </row>
    <row r="64" spans="1:17">
      <c r="A64" s="115"/>
      <c r="B64" s="103" t="s">
        <v>81</v>
      </c>
      <c r="C64" s="87" t="s">
        <v>346</v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109"/>
    </row>
    <row r="65" spans="1:17">
      <c r="A65" s="115"/>
      <c r="B65" s="103" t="s">
        <v>395</v>
      </c>
      <c r="C65" s="87" t="s">
        <v>280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109"/>
    </row>
    <row r="66" ht="14.25" spans="1:17">
      <c r="A66" s="118"/>
      <c r="B66" s="119" t="s">
        <v>396</v>
      </c>
      <c r="C66" s="120" t="s">
        <v>280</v>
      </c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121"/>
    </row>
    <row r="67" spans="1:17">
      <c r="A67" s="55" t="s">
        <v>152</v>
      </c>
      <c r="B67" s="77" t="s">
        <v>397</v>
      </c>
      <c r="C67" s="78" t="s">
        <v>280</v>
      </c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60"/>
    </row>
    <row r="68" spans="1:17">
      <c r="A68" s="102"/>
      <c r="B68" s="82" t="s">
        <v>398</v>
      </c>
      <c r="C68" s="81" t="s">
        <v>339</v>
      </c>
      <c r="D68" s="65">
        <f>D67/D3</f>
        <v>0</v>
      </c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6"/>
    </row>
    <row r="69" spans="1:17">
      <c r="A69" s="102"/>
      <c r="B69" s="80" t="s">
        <v>155</v>
      </c>
      <c r="C69" s="81" t="s">
        <v>280</v>
      </c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6"/>
    </row>
    <row r="70" spans="1:17">
      <c r="A70" s="102"/>
      <c r="B70" s="103" t="s">
        <v>159</v>
      </c>
      <c r="C70" s="87" t="s">
        <v>280</v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109"/>
    </row>
    <row r="71" spans="1:17">
      <c r="A71" s="102"/>
      <c r="B71" s="103" t="s">
        <v>156</v>
      </c>
      <c r="C71" s="87" t="s">
        <v>346</v>
      </c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109"/>
    </row>
    <row r="72" spans="1:17">
      <c r="A72" s="102"/>
      <c r="B72" s="103" t="s">
        <v>157</v>
      </c>
      <c r="C72" s="87" t="s">
        <v>280</v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109"/>
    </row>
    <row r="73" ht="14.25" spans="1:17">
      <c r="A73" s="110"/>
      <c r="B73" s="119" t="s">
        <v>158</v>
      </c>
      <c r="C73" s="120" t="s">
        <v>280</v>
      </c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121"/>
    </row>
    <row r="74" ht="14.25" spans="1:17">
      <c r="A74" s="122" t="s">
        <v>399</v>
      </c>
      <c r="B74" s="123"/>
      <c r="C74" s="124" t="s">
        <v>280</v>
      </c>
      <c r="D74" s="125">
        <f>D67+D55+D53+D36</f>
        <v>0</v>
      </c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6"/>
    </row>
    <row r="75" spans="1:17">
      <c r="A75" s="76" t="s">
        <v>400</v>
      </c>
      <c r="B75" s="127" t="s">
        <v>401</v>
      </c>
      <c r="C75" s="78" t="s">
        <v>402</v>
      </c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60"/>
    </row>
    <row r="76" spans="1:17">
      <c r="A76" s="128"/>
      <c r="B76" s="129" t="s">
        <v>403</v>
      </c>
      <c r="C76" s="81" t="s">
        <v>402</v>
      </c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6"/>
    </row>
    <row r="77" spans="1:17">
      <c r="A77" s="128"/>
      <c r="B77" s="129" t="s">
        <v>404</v>
      </c>
      <c r="C77" s="81" t="s">
        <v>402</v>
      </c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6"/>
    </row>
    <row r="78" spans="1:17">
      <c r="A78" s="128"/>
      <c r="B78" s="129" t="s">
        <v>405</v>
      </c>
      <c r="C78" s="81" t="s">
        <v>402</v>
      </c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6"/>
    </row>
    <row r="79" spans="1:17">
      <c r="A79" s="128"/>
      <c r="B79" s="129" t="s">
        <v>406</v>
      </c>
      <c r="C79" s="81" t="s">
        <v>402</v>
      </c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6"/>
    </row>
    <row r="80" spans="1:17">
      <c r="A80" s="128"/>
      <c r="B80" s="129" t="s">
        <v>407</v>
      </c>
      <c r="C80" s="81" t="s">
        <v>402</v>
      </c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6"/>
    </row>
    <row r="81" spans="1:17">
      <c r="A81" s="128"/>
      <c r="B81" s="82" t="s">
        <v>408</v>
      </c>
      <c r="C81" s="81" t="s">
        <v>402</v>
      </c>
      <c r="D81" s="65">
        <f>SUM(D75:D80)</f>
        <v>0</v>
      </c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6"/>
    </row>
    <row r="82" ht="14.25" spans="1:17">
      <c r="A82" s="130"/>
      <c r="B82" s="113" t="s">
        <v>409</v>
      </c>
      <c r="C82" s="90" t="s">
        <v>410</v>
      </c>
      <c r="D82" s="91" t="e">
        <f>D81/D7</f>
        <v>#DIV/0!</v>
      </c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2"/>
    </row>
    <row r="83" spans="1:17">
      <c r="A83" s="76" t="s">
        <v>411</v>
      </c>
      <c r="B83" s="127" t="s">
        <v>412</v>
      </c>
      <c r="C83" s="78" t="s">
        <v>402</v>
      </c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60"/>
    </row>
    <row r="84" spans="1:17">
      <c r="A84" s="128"/>
      <c r="B84" s="129" t="s">
        <v>413</v>
      </c>
      <c r="C84" s="81" t="s">
        <v>402</v>
      </c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6"/>
    </row>
    <row r="85" spans="1:17">
      <c r="A85" s="128"/>
      <c r="B85" s="129" t="s">
        <v>414</v>
      </c>
      <c r="C85" s="81" t="s">
        <v>402</v>
      </c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6"/>
    </row>
    <row r="86" spans="1:17">
      <c r="A86" s="128"/>
      <c r="B86" s="129" t="s">
        <v>415</v>
      </c>
      <c r="C86" s="81" t="s">
        <v>402</v>
      </c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6"/>
    </row>
    <row r="87" spans="1:17">
      <c r="A87" s="128"/>
      <c r="B87" s="129" t="s">
        <v>416</v>
      </c>
      <c r="C87" s="81" t="s">
        <v>402</v>
      </c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6"/>
    </row>
    <row r="88" spans="1:17">
      <c r="A88" s="128"/>
      <c r="B88" s="129" t="s">
        <v>417</v>
      </c>
      <c r="C88" s="81" t="s">
        <v>402</v>
      </c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6"/>
    </row>
    <row r="89" spans="1:17">
      <c r="A89" s="128"/>
      <c r="B89" s="82" t="s">
        <v>418</v>
      </c>
      <c r="C89" s="81" t="s">
        <v>402</v>
      </c>
      <c r="D89" s="65">
        <f>SUM(D83:D88)</f>
        <v>0</v>
      </c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6"/>
    </row>
    <row r="90" ht="14.25" spans="1:17">
      <c r="A90" s="130"/>
      <c r="B90" s="113" t="s">
        <v>419</v>
      </c>
      <c r="C90" s="90" t="s">
        <v>420</v>
      </c>
      <c r="D90" s="91" t="e">
        <f>D89/D7</f>
        <v>#DIV/0!</v>
      </c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2"/>
    </row>
    <row r="91" spans="1:17">
      <c r="A91" s="76" t="s">
        <v>421</v>
      </c>
      <c r="B91" s="127" t="s">
        <v>422</v>
      </c>
      <c r="C91" s="78" t="s">
        <v>402</v>
      </c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60"/>
    </row>
    <row r="92" spans="1:17">
      <c r="A92" s="128"/>
      <c r="B92" s="129" t="s">
        <v>423</v>
      </c>
      <c r="C92" s="81" t="s">
        <v>402</v>
      </c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6"/>
    </row>
    <row r="93" spans="1:17">
      <c r="A93" s="128"/>
      <c r="B93" s="129" t="s">
        <v>424</v>
      </c>
      <c r="C93" s="81" t="s">
        <v>402</v>
      </c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6"/>
    </row>
    <row r="94" spans="1:17">
      <c r="A94" s="128"/>
      <c r="B94" s="129" t="s">
        <v>425</v>
      </c>
      <c r="C94" s="81" t="s">
        <v>402</v>
      </c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6"/>
    </row>
    <row r="95" spans="1:17">
      <c r="A95" s="128"/>
      <c r="B95" s="129" t="s">
        <v>426</v>
      </c>
      <c r="C95" s="81" t="s">
        <v>402</v>
      </c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6"/>
    </row>
    <row r="96" spans="1:17">
      <c r="A96" s="128"/>
      <c r="B96" s="129" t="s">
        <v>427</v>
      </c>
      <c r="C96" s="81" t="s">
        <v>402</v>
      </c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6"/>
    </row>
    <row r="97" spans="1:17">
      <c r="A97" s="128"/>
      <c r="B97" s="82" t="s">
        <v>428</v>
      </c>
      <c r="C97" s="81" t="s">
        <v>402</v>
      </c>
      <c r="D97" s="65">
        <f>SUM(D91:D96)</f>
        <v>0</v>
      </c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6"/>
    </row>
    <row r="98" ht="14.25" spans="1:17">
      <c r="A98" s="130"/>
      <c r="B98" s="113" t="s">
        <v>429</v>
      </c>
      <c r="C98" s="90" t="s">
        <v>420</v>
      </c>
      <c r="D98" s="91" t="e">
        <f>D97/D4</f>
        <v>#DIV/0!</v>
      </c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2"/>
    </row>
    <row r="99" spans="1:17">
      <c r="A99" s="76" t="s">
        <v>430</v>
      </c>
      <c r="B99" s="127" t="s">
        <v>431</v>
      </c>
      <c r="C99" s="78" t="s">
        <v>402</v>
      </c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60"/>
    </row>
    <row r="100" spans="1:17">
      <c r="A100" s="128"/>
      <c r="B100" s="129" t="s">
        <v>432</v>
      </c>
      <c r="C100" s="81" t="s">
        <v>402</v>
      </c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6"/>
    </row>
    <row r="101" spans="1:17">
      <c r="A101" s="128"/>
      <c r="B101" s="129" t="s">
        <v>433</v>
      </c>
      <c r="C101" s="81" t="s">
        <v>402</v>
      </c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6"/>
    </row>
    <row r="102" spans="1:17">
      <c r="A102" s="128"/>
      <c r="B102" s="129" t="s">
        <v>434</v>
      </c>
      <c r="C102" s="81" t="s">
        <v>402</v>
      </c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6"/>
    </row>
    <row r="103" spans="1:17">
      <c r="A103" s="128"/>
      <c r="B103" s="129" t="s">
        <v>435</v>
      </c>
      <c r="C103" s="81" t="s">
        <v>402</v>
      </c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6"/>
    </row>
    <row r="104" spans="1:17">
      <c r="A104" s="128"/>
      <c r="B104" s="129" t="s">
        <v>436</v>
      </c>
      <c r="C104" s="81" t="s">
        <v>402</v>
      </c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6"/>
    </row>
    <row r="105" spans="1:17">
      <c r="A105" s="128"/>
      <c r="B105" s="82" t="s">
        <v>437</v>
      </c>
      <c r="C105" s="81" t="s">
        <v>402</v>
      </c>
      <c r="D105" s="65">
        <f>SUM(D99:D104)</f>
        <v>0</v>
      </c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6"/>
    </row>
    <row r="106" ht="14.25" spans="1:17">
      <c r="A106" s="130"/>
      <c r="B106" s="113" t="s">
        <v>438</v>
      </c>
      <c r="C106" s="90" t="s">
        <v>420</v>
      </c>
      <c r="D106" s="91" t="e">
        <f>D105/D4</f>
        <v>#DIV/0!</v>
      </c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2"/>
    </row>
    <row r="107" spans="1:17">
      <c r="A107" s="55" t="s">
        <v>136</v>
      </c>
      <c r="B107" s="77" t="s">
        <v>439</v>
      </c>
      <c r="C107" s="78" t="s">
        <v>280</v>
      </c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60"/>
    </row>
    <row r="108" spans="1:17">
      <c r="A108" s="61"/>
      <c r="B108" s="82" t="s">
        <v>440</v>
      </c>
      <c r="C108" s="83" t="s">
        <v>17</v>
      </c>
      <c r="D108" s="84" t="e">
        <f>D107/D82/D9</f>
        <v>#DIV/0!</v>
      </c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5"/>
    </row>
    <row r="109" ht="14.25" spans="1:17">
      <c r="A109" s="112"/>
      <c r="B109" s="113" t="s">
        <v>441</v>
      </c>
      <c r="C109" s="131" t="s">
        <v>17</v>
      </c>
      <c r="D109" s="132" t="e">
        <f>D107/D3/24/D9</f>
        <v>#DIV/0!</v>
      </c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3"/>
    </row>
    <row r="110" spans="1:17">
      <c r="A110" s="55" t="s">
        <v>144</v>
      </c>
      <c r="B110" s="77" t="s">
        <v>442</v>
      </c>
      <c r="C110" s="78" t="s">
        <v>280</v>
      </c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60"/>
    </row>
    <row r="111" ht="14.25" spans="1:17">
      <c r="A111" s="112"/>
      <c r="B111" s="113" t="s">
        <v>443</v>
      </c>
      <c r="C111" s="131" t="s">
        <v>17</v>
      </c>
      <c r="D111" s="132" t="e">
        <f>D110/D3/24/D6</f>
        <v>#DIV/0!</v>
      </c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3"/>
    </row>
    <row r="112" spans="1:17">
      <c r="A112" s="134" t="s">
        <v>444</v>
      </c>
      <c r="B112" s="135" t="s">
        <v>445</v>
      </c>
      <c r="C112" s="136" t="s">
        <v>17</v>
      </c>
      <c r="D112" s="137" t="e">
        <f>D37/D3/D8</f>
        <v>#DIV/0!</v>
      </c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8"/>
    </row>
    <row r="113" spans="1:17">
      <c r="A113" s="139"/>
      <c r="B113" s="82" t="s">
        <v>446</v>
      </c>
      <c r="C113" s="83" t="s">
        <v>17</v>
      </c>
      <c r="D113" s="84" t="e">
        <f>D107/D3/24/D9</f>
        <v>#DIV/0!</v>
      </c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5"/>
    </row>
    <row r="114" spans="1:17">
      <c r="A114" s="139"/>
      <c r="B114" s="82" t="s">
        <v>447</v>
      </c>
      <c r="C114" s="81" t="s">
        <v>448</v>
      </c>
      <c r="D114" s="140" t="e">
        <f>D107/D37</f>
        <v>#DIV/0!</v>
      </c>
      <c r="E114" s="14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141"/>
    </row>
    <row r="115" spans="1:17">
      <c r="A115" s="139"/>
      <c r="B115" s="82" t="s">
        <v>449</v>
      </c>
      <c r="C115" s="81" t="s">
        <v>402</v>
      </c>
      <c r="D115" s="65" t="e">
        <f>D11/D5</f>
        <v>#DIV/0!</v>
      </c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6"/>
    </row>
    <row r="116" spans="1:17">
      <c r="A116" s="139"/>
      <c r="B116" s="82" t="s">
        <v>450</v>
      </c>
      <c r="C116" s="83" t="s">
        <v>451</v>
      </c>
      <c r="D116" s="140" t="e">
        <f>D110/D11/10</f>
        <v>#DIV/0!</v>
      </c>
      <c r="E116" s="140"/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140"/>
      <c r="Q116" s="141"/>
    </row>
    <row r="117" ht="14.25" spans="1:17">
      <c r="A117" s="139"/>
      <c r="B117" s="142" t="s">
        <v>452</v>
      </c>
      <c r="C117" s="90" t="s">
        <v>453</v>
      </c>
      <c r="D117" s="91" t="e">
        <f>D11/(D5*(D97/D3/24))</f>
        <v>#DIV/0!</v>
      </c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2"/>
    </row>
    <row r="118" spans="1:17">
      <c r="A118" s="143" t="s">
        <v>454</v>
      </c>
      <c r="B118" s="135" t="s">
        <v>455</v>
      </c>
      <c r="C118" s="78" t="s">
        <v>402</v>
      </c>
      <c r="D118" s="59" t="e">
        <f>D23/D5</f>
        <v>#DIV/0!</v>
      </c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60"/>
    </row>
    <row r="119" spans="1:17">
      <c r="A119" s="93"/>
      <c r="B119" s="144" t="s">
        <v>456</v>
      </c>
      <c r="C119" s="145" t="s">
        <v>451</v>
      </c>
      <c r="D119" s="146" t="e">
        <f>D110/D23/10</f>
        <v>#DIV/0!</v>
      </c>
      <c r="E119" s="146"/>
      <c r="F119" s="146"/>
      <c r="G119" s="146"/>
      <c r="H119" s="146"/>
      <c r="I119" s="146"/>
      <c r="J119" s="146"/>
      <c r="K119" s="146"/>
      <c r="L119" s="146"/>
      <c r="M119" s="146"/>
      <c r="N119" s="146"/>
      <c r="O119" s="146"/>
      <c r="P119" s="146"/>
      <c r="Q119" s="147"/>
    </row>
    <row r="120" ht="14.25" spans="1:17">
      <c r="A120" s="93"/>
      <c r="B120" s="148" t="s">
        <v>457</v>
      </c>
      <c r="C120" s="149" t="s">
        <v>358</v>
      </c>
      <c r="D120" s="150" t="e">
        <f>D23/(D5*(D97/D3/24))</f>
        <v>#DIV/0!</v>
      </c>
      <c r="E120" s="151"/>
      <c r="F120" s="151"/>
      <c r="G120" s="151"/>
      <c r="H120" s="151"/>
      <c r="I120" s="151"/>
      <c r="J120" s="151"/>
      <c r="K120" s="151"/>
      <c r="L120" s="151"/>
      <c r="M120" s="151"/>
      <c r="N120" s="151"/>
      <c r="O120" s="151"/>
      <c r="P120" s="100"/>
      <c r="Q120" s="101"/>
    </row>
    <row r="121" spans="1:17">
      <c r="A121" s="76" t="s">
        <v>458</v>
      </c>
      <c r="B121" s="77" t="s">
        <v>459</v>
      </c>
      <c r="C121" s="78" t="s">
        <v>280</v>
      </c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60"/>
    </row>
    <row r="122" spans="1:17">
      <c r="A122" s="79"/>
      <c r="B122" s="82" t="s">
        <v>460</v>
      </c>
      <c r="C122" s="83" t="s">
        <v>17</v>
      </c>
      <c r="D122" s="84" t="e">
        <f>D121/D37</f>
        <v>#DIV/0!</v>
      </c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5"/>
    </row>
    <row r="123" spans="1:17">
      <c r="A123" s="79"/>
      <c r="B123" s="80" t="s">
        <v>189</v>
      </c>
      <c r="C123" s="81" t="s">
        <v>280</v>
      </c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6"/>
    </row>
    <row r="124" spans="1:17">
      <c r="A124" s="79"/>
      <c r="B124" s="80" t="s">
        <v>188</v>
      </c>
      <c r="C124" s="81" t="s">
        <v>280</v>
      </c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6"/>
    </row>
    <row r="125" spans="1:17">
      <c r="A125" s="79"/>
      <c r="B125" s="80" t="s">
        <v>185</v>
      </c>
      <c r="C125" s="81" t="s">
        <v>280</v>
      </c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6"/>
    </row>
    <row r="126" spans="1:17">
      <c r="A126" s="79"/>
      <c r="B126" s="82" t="s">
        <v>461</v>
      </c>
      <c r="C126" s="83" t="s">
        <v>17</v>
      </c>
      <c r="D126" s="84" t="e">
        <f>D125/D37</f>
        <v>#DIV/0!</v>
      </c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5"/>
    </row>
    <row r="127" spans="1:17">
      <c r="A127" s="79"/>
      <c r="B127" s="103" t="s">
        <v>186</v>
      </c>
      <c r="C127" s="81" t="s">
        <v>280</v>
      </c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6"/>
    </row>
    <row r="128" spans="1:17">
      <c r="A128" s="79"/>
      <c r="B128" s="103" t="s">
        <v>190</v>
      </c>
      <c r="C128" s="81" t="s">
        <v>346</v>
      </c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6"/>
    </row>
    <row r="129" spans="1:17">
      <c r="A129" s="79"/>
      <c r="B129" s="103" t="s">
        <v>191</v>
      </c>
      <c r="C129" s="81" t="s">
        <v>280</v>
      </c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6"/>
    </row>
    <row r="130" ht="14.25" spans="1:17">
      <c r="A130" s="152"/>
      <c r="B130" s="119" t="s">
        <v>192</v>
      </c>
      <c r="C130" s="99" t="s">
        <v>280</v>
      </c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1"/>
    </row>
    <row r="131" spans="1:17">
      <c r="A131" s="76" t="s">
        <v>462</v>
      </c>
      <c r="B131" s="153" t="s">
        <v>463</v>
      </c>
      <c r="C131" s="78" t="s">
        <v>280</v>
      </c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60"/>
    </row>
    <row r="132" spans="1:17">
      <c r="A132" s="79"/>
      <c r="B132" s="86" t="s">
        <v>464</v>
      </c>
      <c r="C132" s="64" t="s">
        <v>17</v>
      </c>
      <c r="D132" s="84" t="e">
        <f>D131/D36</f>
        <v>#DIV/0!</v>
      </c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5"/>
    </row>
    <row r="133" spans="1:17">
      <c r="A133" s="79"/>
      <c r="B133" s="103" t="s">
        <v>465</v>
      </c>
      <c r="C133" s="81" t="s">
        <v>280</v>
      </c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6"/>
    </row>
    <row r="134" spans="1:17">
      <c r="A134" s="152"/>
      <c r="B134" s="111" t="s">
        <v>466</v>
      </c>
      <c r="C134" s="99" t="s">
        <v>280</v>
      </c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100"/>
      <c r="Q134" s="101"/>
    </row>
    <row r="135" ht="14.25" spans="1:17">
      <c r="A135" s="152"/>
      <c r="B135" s="111" t="s">
        <v>50</v>
      </c>
      <c r="C135" s="99" t="s">
        <v>280</v>
      </c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100"/>
      <c r="Q135" s="101"/>
    </row>
    <row r="136" spans="1:17">
      <c r="A136" s="76" t="s">
        <v>467</v>
      </c>
      <c r="B136" s="77" t="s">
        <v>161</v>
      </c>
      <c r="C136" s="78" t="s">
        <v>468</v>
      </c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9"/>
      <c r="Q136" s="60"/>
    </row>
    <row r="137" spans="1:17">
      <c r="A137" s="79"/>
      <c r="B137" s="82" t="s">
        <v>469</v>
      </c>
      <c r="C137" s="81" t="s">
        <v>470</v>
      </c>
      <c r="D137" s="64">
        <f>D136/D3</f>
        <v>0</v>
      </c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6"/>
    </row>
    <row r="138" spans="1:17">
      <c r="A138" s="79"/>
      <c r="B138" s="103" t="s">
        <v>163</v>
      </c>
      <c r="C138" s="81" t="s">
        <v>468</v>
      </c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6"/>
    </row>
    <row r="139" spans="1:17">
      <c r="A139" s="79"/>
      <c r="B139" s="103" t="s">
        <v>164</v>
      </c>
      <c r="C139" s="81" t="s">
        <v>468</v>
      </c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6"/>
    </row>
    <row r="140" spans="1:17">
      <c r="A140" s="79"/>
      <c r="B140" s="103" t="s">
        <v>165</v>
      </c>
      <c r="C140" s="81" t="s">
        <v>468</v>
      </c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6"/>
    </row>
    <row r="141" spans="1:17">
      <c r="A141" s="79"/>
      <c r="B141" s="103" t="s">
        <v>166</v>
      </c>
      <c r="C141" s="81" t="s">
        <v>468</v>
      </c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6"/>
    </row>
    <row r="142" spans="1:17">
      <c r="A142" s="79"/>
      <c r="B142" s="103" t="s">
        <v>168</v>
      </c>
      <c r="C142" s="81" t="s">
        <v>280</v>
      </c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6"/>
    </row>
    <row r="143" ht="14.25" spans="1:17">
      <c r="A143" s="152"/>
      <c r="B143" s="119" t="s">
        <v>169</v>
      </c>
      <c r="C143" s="99" t="s">
        <v>280</v>
      </c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1"/>
    </row>
    <row r="144" spans="1:17">
      <c r="A144" s="76" t="s">
        <v>471</v>
      </c>
      <c r="B144" s="153" t="s">
        <v>472</v>
      </c>
      <c r="C144" s="78" t="s">
        <v>280</v>
      </c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60"/>
    </row>
    <row r="145" spans="1:17">
      <c r="A145" s="79"/>
      <c r="B145" s="86" t="s">
        <v>473</v>
      </c>
      <c r="C145" s="81" t="s">
        <v>474</v>
      </c>
      <c r="D145" s="140" t="e">
        <f>D144/D37*1000</f>
        <v>#DIV/0!</v>
      </c>
      <c r="E145" s="140"/>
      <c r="F145" s="140"/>
      <c r="G145" s="140"/>
      <c r="H145" s="140"/>
      <c r="I145" s="140"/>
      <c r="J145" s="140"/>
      <c r="K145" s="140"/>
      <c r="L145" s="140"/>
      <c r="M145" s="140"/>
      <c r="N145" s="140"/>
      <c r="O145" s="140"/>
      <c r="P145" s="140"/>
      <c r="Q145" s="141"/>
    </row>
    <row r="146" spans="1:17">
      <c r="A146" s="79"/>
      <c r="B146" s="80" t="s">
        <v>475</v>
      </c>
      <c r="C146" s="81" t="s">
        <v>280</v>
      </c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6"/>
    </row>
    <row r="147" spans="1:17">
      <c r="A147" s="79"/>
      <c r="B147" s="82" t="s">
        <v>476</v>
      </c>
      <c r="C147" s="81" t="s">
        <v>474</v>
      </c>
      <c r="D147" s="140" t="e">
        <f>D146/D37*1000</f>
        <v>#DIV/0!</v>
      </c>
      <c r="E147" s="140"/>
      <c r="F147" s="140"/>
      <c r="G147" s="140"/>
      <c r="H147" s="140"/>
      <c r="I147" s="140"/>
      <c r="J147" s="140"/>
      <c r="K147" s="140"/>
      <c r="L147" s="140"/>
      <c r="M147" s="140"/>
      <c r="N147" s="140"/>
      <c r="O147" s="140"/>
      <c r="P147" s="140"/>
      <c r="Q147" s="141"/>
    </row>
    <row r="148" spans="1:17">
      <c r="A148" s="79"/>
      <c r="B148" s="80" t="s">
        <v>197</v>
      </c>
      <c r="C148" s="81" t="s">
        <v>280</v>
      </c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6"/>
    </row>
    <row r="149" spans="1:17">
      <c r="A149" s="79"/>
      <c r="B149" s="82" t="s">
        <v>477</v>
      </c>
      <c r="C149" s="81" t="s">
        <v>474</v>
      </c>
      <c r="D149" s="140" t="e">
        <f>D148/D37*1000</f>
        <v>#DIV/0!</v>
      </c>
      <c r="E149" s="140"/>
      <c r="F149" s="140"/>
      <c r="G149" s="140"/>
      <c r="H149" s="140"/>
      <c r="I149" s="140"/>
      <c r="J149" s="140"/>
      <c r="K149" s="140"/>
      <c r="L149" s="140"/>
      <c r="M149" s="140"/>
      <c r="N149" s="140"/>
      <c r="O149" s="140"/>
      <c r="P149" s="140"/>
      <c r="Q149" s="141"/>
    </row>
    <row r="150" spans="1:17">
      <c r="A150" s="79"/>
      <c r="B150" s="80" t="s">
        <v>198</v>
      </c>
      <c r="C150" s="81" t="s">
        <v>280</v>
      </c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5"/>
      <c r="Q150" s="66"/>
    </row>
    <row r="151" spans="1:17">
      <c r="A151" s="79"/>
      <c r="B151" s="82" t="s">
        <v>478</v>
      </c>
      <c r="C151" s="81" t="s">
        <v>474</v>
      </c>
      <c r="D151" s="64" t="e">
        <f>D150/D37*1000</f>
        <v>#DIV/0!</v>
      </c>
      <c r="E151" s="140"/>
      <c r="F151" s="140"/>
      <c r="G151" s="140"/>
      <c r="H151" s="140"/>
      <c r="I151" s="140"/>
      <c r="J151" s="140"/>
      <c r="K151" s="140"/>
      <c r="L151" s="140"/>
      <c r="M151" s="140"/>
      <c r="N151" s="140"/>
      <c r="O151" s="140"/>
      <c r="P151" s="140"/>
      <c r="Q151" s="141"/>
    </row>
    <row r="152" spans="1:17">
      <c r="A152" s="79"/>
      <c r="B152" s="80" t="s">
        <v>200</v>
      </c>
      <c r="C152" s="81" t="s">
        <v>280</v>
      </c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6"/>
    </row>
    <row r="153" spans="1:17">
      <c r="A153" s="79"/>
      <c r="B153" s="82" t="s">
        <v>479</v>
      </c>
      <c r="C153" s="81" t="s">
        <v>474</v>
      </c>
      <c r="D153" s="140" t="e">
        <f>D152/D37*1000</f>
        <v>#DIV/0!</v>
      </c>
      <c r="E153" s="140"/>
      <c r="F153" s="140"/>
      <c r="G153" s="140"/>
      <c r="H153" s="140"/>
      <c r="I153" s="140"/>
      <c r="J153" s="140"/>
      <c r="K153" s="140"/>
      <c r="L153" s="140"/>
      <c r="M153" s="140"/>
      <c r="N153" s="140"/>
      <c r="O153" s="140"/>
      <c r="P153" s="140"/>
      <c r="Q153" s="141"/>
    </row>
    <row r="154" spans="1:17">
      <c r="A154" s="79"/>
      <c r="B154" s="80" t="s">
        <v>199</v>
      </c>
      <c r="C154" s="81" t="s">
        <v>280</v>
      </c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6"/>
    </row>
    <row r="155" spans="1:17">
      <c r="A155" s="79"/>
      <c r="B155" s="82" t="s">
        <v>480</v>
      </c>
      <c r="C155" s="83" t="s">
        <v>17</v>
      </c>
      <c r="D155" s="84" t="e">
        <f>D154/D125</f>
        <v>#DIV/0!</v>
      </c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5"/>
    </row>
    <row r="156" spans="1:17">
      <c r="A156" s="79"/>
      <c r="B156" s="80" t="s">
        <v>481</v>
      </c>
      <c r="C156" s="81" t="s">
        <v>280</v>
      </c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6"/>
    </row>
    <row r="157" spans="1:17">
      <c r="A157" s="79"/>
      <c r="B157" s="103" t="s">
        <v>195</v>
      </c>
      <c r="C157" s="81" t="s">
        <v>280</v>
      </c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6"/>
    </row>
    <row r="158" spans="1:17">
      <c r="A158" s="79"/>
      <c r="B158" s="86" t="s">
        <v>482</v>
      </c>
      <c r="C158" s="81" t="s">
        <v>474</v>
      </c>
      <c r="D158" s="64" t="e">
        <f>D157/D37*1000</f>
        <v>#DIV/0!</v>
      </c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6"/>
    </row>
    <row r="159" spans="1:17">
      <c r="A159" s="79"/>
      <c r="B159" s="103" t="s">
        <v>196</v>
      </c>
      <c r="C159" s="81" t="s">
        <v>280</v>
      </c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6"/>
    </row>
    <row r="160" ht="14.25" spans="1:17">
      <c r="A160" s="88"/>
      <c r="B160" s="113" t="s">
        <v>483</v>
      </c>
      <c r="C160" s="90" t="s">
        <v>474</v>
      </c>
      <c r="D160" s="154" t="e">
        <f>D159/D37*1000</f>
        <v>#DIV/0!</v>
      </c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92"/>
    </row>
    <row r="161" ht="14.25" spans="1:17">
      <c r="A161" s="55" t="s">
        <v>484</v>
      </c>
      <c r="B161" s="77" t="s">
        <v>485</v>
      </c>
      <c r="C161" s="78" t="s">
        <v>468</v>
      </c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60"/>
    </row>
    <row r="162" ht="14.25" spans="1:17">
      <c r="A162" s="155"/>
      <c r="B162" s="156" t="s">
        <v>486</v>
      </c>
      <c r="C162" s="78" t="s">
        <v>468</v>
      </c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8"/>
    </row>
    <row r="163" spans="1:17">
      <c r="A163" s="155"/>
      <c r="B163" s="156" t="s">
        <v>179</v>
      </c>
      <c r="C163" s="78" t="s">
        <v>468</v>
      </c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158"/>
    </row>
    <row r="164" spans="1:17">
      <c r="A164" s="61"/>
      <c r="B164" s="82" t="s">
        <v>487</v>
      </c>
      <c r="C164" s="81" t="s">
        <v>488</v>
      </c>
      <c r="D164" s="140" t="e">
        <f>D161/D37</f>
        <v>#DIV/0!</v>
      </c>
      <c r="E164" s="140"/>
      <c r="F164" s="140"/>
      <c r="G164" s="140"/>
      <c r="H164" s="140"/>
      <c r="I164" s="140"/>
      <c r="J164" s="140"/>
      <c r="K164" s="140"/>
      <c r="L164" s="140"/>
      <c r="M164" s="140"/>
      <c r="N164" s="140"/>
      <c r="O164" s="140"/>
      <c r="P164" s="140"/>
      <c r="Q164" s="141"/>
    </row>
    <row r="165" spans="1:17">
      <c r="A165" s="61"/>
      <c r="B165" s="80" t="s">
        <v>489</v>
      </c>
      <c r="C165" s="81" t="s">
        <v>280</v>
      </c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6"/>
    </row>
    <row r="166" spans="1:17">
      <c r="A166" s="61"/>
      <c r="B166" s="159" t="s">
        <v>490</v>
      </c>
      <c r="C166" s="81" t="s">
        <v>280</v>
      </c>
      <c r="D166" s="140"/>
      <c r="E166" s="140"/>
      <c r="F166" s="140"/>
      <c r="G166" s="140"/>
      <c r="H166" s="140"/>
      <c r="I166" s="140"/>
      <c r="J166" s="140"/>
      <c r="K166" s="140"/>
      <c r="L166" s="140"/>
      <c r="M166" s="140"/>
      <c r="N166" s="140"/>
      <c r="O166" s="140"/>
      <c r="P166" s="140"/>
      <c r="Q166" s="141"/>
    </row>
    <row r="167" spans="1:17">
      <c r="A167" s="61"/>
      <c r="B167" s="159" t="s">
        <v>182</v>
      </c>
      <c r="C167" s="81" t="s">
        <v>280</v>
      </c>
      <c r="D167" s="140"/>
      <c r="E167" s="140"/>
      <c r="F167" s="140"/>
      <c r="G167" s="140"/>
      <c r="H167" s="140"/>
      <c r="I167" s="140"/>
      <c r="J167" s="140"/>
      <c r="K167" s="140"/>
      <c r="L167" s="140"/>
      <c r="M167" s="140"/>
      <c r="N167" s="140"/>
      <c r="O167" s="140"/>
      <c r="P167" s="140"/>
      <c r="Q167" s="141"/>
    </row>
    <row r="168" spans="1:17">
      <c r="A168" s="61"/>
      <c r="B168" s="82" t="s">
        <v>491</v>
      </c>
      <c r="C168" s="81" t="s">
        <v>474</v>
      </c>
      <c r="D168" s="140" t="e">
        <f>D165/D37*1000</f>
        <v>#DIV/0!</v>
      </c>
      <c r="E168" s="140"/>
      <c r="F168" s="140"/>
      <c r="G168" s="140"/>
      <c r="H168" s="140"/>
      <c r="I168" s="140"/>
      <c r="J168" s="140"/>
      <c r="K168" s="140"/>
      <c r="L168" s="140"/>
      <c r="M168" s="140"/>
      <c r="N168" s="140"/>
      <c r="O168" s="140"/>
      <c r="P168" s="140"/>
      <c r="Q168" s="141"/>
    </row>
    <row r="169" ht="14.25" spans="1:17">
      <c r="A169" s="112"/>
      <c r="B169" s="160" t="s">
        <v>183</v>
      </c>
      <c r="C169" s="90" t="s">
        <v>280</v>
      </c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2"/>
    </row>
    <row r="170" spans="1:17">
      <c r="A170" s="161" t="s">
        <v>492</v>
      </c>
      <c r="B170" s="162" t="s">
        <v>171</v>
      </c>
      <c r="C170" s="163" t="s">
        <v>280</v>
      </c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60"/>
    </row>
    <row r="171" spans="1:17">
      <c r="A171" s="164"/>
      <c r="B171" s="165" t="s">
        <v>172</v>
      </c>
      <c r="C171" s="166" t="s">
        <v>280</v>
      </c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5"/>
      <c r="Q171" s="66"/>
    </row>
    <row r="172" spans="1:17">
      <c r="A172" s="164"/>
      <c r="B172" s="165" t="s">
        <v>173</v>
      </c>
      <c r="C172" s="166" t="s">
        <v>280</v>
      </c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6"/>
    </row>
    <row r="173" spans="1:17">
      <c r="A173" s="164"/>
      <c r="B173" s="165" t="s">
        <v>493</v>
      </c>
      <c r="C173" s="166" t="s">
        <v>280</v>
      </c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5"/>
      <c r="Q173" s="66"/>
    </row>
    <row r="174" spans="1:17">
      <c r="A174" s="164"/>
      <c r="B174" s="165" t="s">
        <v>494</v>
      </c>
      <c r="C174" s="166" t="s">
        <v>280</v>
      </c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6"/>
    </row>
    <row r="175" spans="1:17">
      <c r="A175" s="164"/>
      <c r="B175" s="167" t="s">
        <v>495</v>
      </c>
      <c r="C175" s="166" t="s">
        <v>496</v>
      </c>
      <c r="D175" s="140" t="e">
        <f>D174/D36</f>
        <v>#DIV/0!</v>
      </c>
      <c r="E175" s="140"/>
      <c r="F175" s="140"/>
      <c r="G175" s="140"/>
      <c r="H175" s="140"/>
      <c r="I175" s="140"/>
      <c r="J175" s="140"/>
      <c r="K175" s="140"/>
      <c r="L175" s="140"/>
      <c r="M175" s="140"/>
      <c r="N175" s="140"/>
      <c r="O175" s="140"/>
      <c r="P175" s="140"/>
      <c r="Q175" s="141"/>
    </row>
    <row r="176" spans="1:17">
      <c r="A176" s="164"/>
      <c r="B176" s="165" t="s">
        <v>175</v>
      </c>
      <c r="C176" s="166" t="s">
        <v>280</v>
      </c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6"/>
    </row>
    <row r="177" ht="14.25" spans="1:17">
      <c r="A177" s="164"/>
      <c r="B177" s="167" t="s">
        <v>497</v>
      </c>
      <c r="C177" s="168" t="s">
        <v>17</v>
      </c>
      <c r="D177" s="84" t="e">
        <f>(D176-D35)/D107</f>
        <v>#DIV/0!</v>
      </c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5"/>
    </row>
    <row r="178" spans="1:17">
      <c r="A178" s="169" t="s">
        <v>498</v>
      </c>
      <c r="B178" s="153" t="s">
        <v>225</v>
      </c>
      <c r="C178" s="78" t="s">
        <v>280</v>
      </c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60"/>
    </row>
    <row r="179" spans="1:17">
      <c r="A179" s="170"/>
      <c r="B179" s="165" t="s">
        <v>204</v>
      </c>
      <c r="C179" s="171" t="s">
        <v>280</v>
      </c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6"/>
    </row>
    <row r="180" spans="1:17">
      <c r="A180" s="170"/>
      <c r="B180" s="165" t="s">
        <v>214</v>
      </c>
      <c r="C180" s="171" t="s">
        <v>280</v>
      </c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6"/>
    </row>
    <row r="181" spans="1:17">
      <c r="A181" s="170"/>
      <c r="B181" s="165" t="s">
        <v>215</v>
      </c>
      <c r="C181" s="171" t="s">
        <v>280</v>
      </c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6"/>
    </row>
    <row r="182" spans="1:17">
      <c r="A182" s="170"/>
      <c r="B182" s="165" t="s">
        <v>217</v>
      </c>
      <c r="C182" s="171" t="s">
        <v>280</v>
      </c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6"/>
    </row>
    <row r="183" spans="1:17">
      <c r="A183" s="170"/>
      <c r="B183" s="165" t="s">
        <v>219</v>
      </c>
      <c r="C183" s="171" t="s">
        <v>280</v>
      </c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6"/>
    </row>
    <row r="184" spans="1:17">
      <c r="A184" s="170"/>
      <c r="B184" s="165" t="s">
        <v>212</v>
      </c>
      <c r="C184" s="171" t="s">
        <v>280</v>
      </c>
      <c r="D184" s="172"/>
      <c r="E184" s="172"/>
      <c r="F184" s="172"/>
      <c r="G184" s="172"/>
      <c r="H184" s="172"/>
      <c r="I184" s="172"/>
      <c r="J184" s="172"/>
      <c r="K184" s="172"/>
      <c r="L184" s="172"/>
      <c r="M184" s="172"/>
      <c r="N184" s="172"/>
      <c r="O184" s="172"/>
      <c r="P184" s="172"/>
      <c r="Q184" s="173"/>
    </row>
    <row r="185" spans="1:17">
      <c r="A185" s="170"/>
      <c r="B185" s="165" t="s">
        <v>210</v>
      </c>
      <c r="C185" s="171" t="s">
        <v>280</v>
      </c>
      <c r="D185" s="172"/>
      <c r="E185" s="172"/>
      <c r="F185" s="172"/>
      <c r="G185" s="172"/>
      <c r="H185" s="172"/>
      <c r="I185" s="172"/>
      <c r="J185" s="172"/>
      <c r="K185" s="172"/>
      <c r="L185" s="172"/>
      <c r="M185" s="172"/>
      <c r="N185" s="172"/>
      <c r="O185" s="172"/>
      <c r="P185" s="172"/>
      <c r="Q185" s="173"/>
    </row>
    <row r="186" spans="1:17">
      <c r="A186" s="170"/>
      <c r="B186" s="165" t="s">
        <v>209</v>
      </c>
      <c r="C186" s="171" t="s">
        <v>280</v>
      </c>
      <c r="D186" s="172"/>
      <c r="E186" s="172"/>
      <c r="F186" s="172"/>
      <c r="G186" s="172"/>
      <c r="H186" s="172"/>
      <c r="I186" s="172"/>
      <c r="J186" s="172"/>
      <c r="K186" s="172"/>
      <c r="L186" s="172"/>
      <c r="M186" s="172"/>
      <c r="N186" s="172"/>
      <c r="O186" s="172"/>
      <c r="P186" s="172"/>
      <c r="Q186" s="173"/>
    </row>
    <row r="187" spans="1:17">
      <c r="A187" s="170"/>
      <c r="B187" s="165" t="s">
        <v>227</v>
      </c>
      <c r="C187" s="171" t="s">
        <v>280</v>
      </c>
      <c r="D187" s="172"/>
      <c r="E187" s="172"/>
      <c r="F187" s="172"/>
      <c r="G187" s="172"/>
      <c r="H187" s="172"/>
      <c r="I187" s="172"/>
      <c r="J187" s="172"/>
      <c r="K187" s="172"/>
      <c r="L187" s="172"/>
      <c r="M187" s="172"/>
      <c r="N187" s="172"/>
      <c r="O187" s="172"/>
      <c r="P187" s="172"/>
      <c r="Q187" s="173"/>
    </row>
    <row r="188" spans="1:17">
      <c r="A188" s="174"/>
      <c r="B188" s="175" t="s">
        <v>223</v>
      </c>
      <c r="C188" s="171" t="s">
        <v>280</v>
      </c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7"/>
    </row>
    <row r="189" spans="1:17">
      <c r="A189" s="174"/>
      <c r="B189" s="175" t="s">
        <v>226</v>
      </c>
      <c r="C189" s="178" t="s">
        <v>280</v>
      </c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7"/>
    </row>
    <row r="190" spans="1:17">
      <c r="A190" s="174"/>
      <c r="B190" s="175" t="s">
        <v>213</v>
      </c>
      <c r="C190" s="178" t="s">
        <v>280</v>
      </c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7"/>
    </row>
    <row r="191" ht="14.25" spans="1:17">
      <c r="A191" s="179"/>
      <c r="B191" s="180" t="s">
        <v>224</v>
      </c>
      <c r="C191" s="181" t="s">
        <v>280</v>
      </c>
      <c r="D191" s="182"/>
      <c r="E191" s="182"/>
      <c r="F191" s="182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3"/>
    </row>
    <row r="192" spans="1:17">
      <c r="A192" s="184" t="s">
        <v>249</v>
      </c>
      <c r="B192" s="127" t="s">
        <v>499</v>
      </c>
      <c r="C192" s="185" t="s">
        <v>280</v>
      </c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7"/>
    </row>
    <row r="193" spans="1:17">
      <c r="A193" s="184"/>
      <c r="B193" s="129" t="s">
        <v>500</v>
      </c>
      <c r="C193" s="188" t="s">
        <v>280</v>
      </c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3"/>
    </row>
    <row r="194" spans="1:17">
      <c r="A194" s="184"/>
      <c r="B194" s="129" t="s">
        <v>501</v>
      </c>
      <c r="C194" s="188" t="s">
        <v>280</v>
      </c>
      <c r="D194" s="172"/>
      <c r="E194" s="172"/>
      <c r="F194" s="172"/>
      <c r="G194" s="172"/>
      <c r="H194" s="172"/>
      <c r="I194" s="172"/>
      <c r="J194" s="172"/>
      <c r="K194" s="172"/>
      <c r="L194" s="172"/>
      <c r="M194" s="172"/>
      <c r="N194" s="172"/>
      <c r="O194" s="172"/>
      <c r="P194" s="172"/>
      <c r="Q194" s="173"/>
    </row>
    <row r="195" spans="1:17">
      <c r="A195" s="184"/>
      <c r="B195" s="129" t="s">
        <v>502</v>
      </c>
      <c r="C195" s="188" t="s">
        <v>280</v>
      </c>
      <c r="D195" s="172"/>
      <c r="E195" s="172"/>
      <c r="F195" s="172"/>
      <c r="G195" s="172"/>
      <c r="H195" s="172"/>
      <c r="I195" s="172"/>
      <c r="J195" s="172"/>
      <c r="K195" s="172"/>
      <c r="L195" s="172"/>
      <c r="M195" s="172"/>
      <c r="N195" s="172"/>
      <c r="O195" s="172"/>
      <c r="P195" s="172"/>
      <c r="Q195" s="173"/>
    </row>
    <row r="196" spans="1:17">
      <c r="A196" s="184"/>
      <c r="B196" s="129" t="s">
        <v>503</v>
      </c>
      <c r="C196" s="188" t="s">
        <v>280</v>
      </c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3"/>
    </row>
    <row r="197" spans="1:17">
      <c r="A197" s="184"/>
      <c r="B197" s="129" t="s">
        <v>504</v>
      </c>
      <c r="C197" s="188" t="s">
        <v>280</v>
      </c>
      <c r="D197" s="172"/>
      <c r="E197" s="172"/>
      <c r="F197" s="172"/>
      <c r="G197" s="172"/>
      <c r="H197" s="172"/>
      <c r="I197" s="172"/>
      <c r="J197" s="172"/>
      <c r="K197" s="172"/>
      <c r="L197" s="172"/>
      <c r="M197" s="172"/>
      <c r="N197" s="172"/>
      <c r="O197" s="172"/>
      <c r="P197" s="172"/>
      <c r="Q197" s="173"/>
    </row>
    <row r="198" ht="14.25" spans="1:17">
      <c r="A198" s="184"/>
      <c r="B198" s="189" t="s">
        <v>250</v>
      </c>
      <c r="C198" s="190" t="s">
        <v>280</v>
      </c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7"/>
    </row>
    <row r="199" spans="1:17">
      <c r="A199" s="191" t="s">
        <v>229</v>
      </c>
      <c r="B199" s="192" t="s">
        <v>243</v>
      </c>
      <c r="C199" s="193" t="s">
        <v>346</v>
      </c>
      <c r="D199" s="194"/>
      <c r="E199" s="194"/>
      <c r="F199" s="194"/>
      <c r="G199" s="194"/>
      <c r="H199" s="194"/>
      <c r="I199" s="194"/>
      <c r="J199" s="194"/>
      <c r="K199" s="194"/>
      <c r="L199" s="194"/>
      <c r="M199" s="194"/>
      <c r="N199" s="194"/>
      <c r="O199" s="194"/>
      <c r="P199" s="194"/>
      <c r="Q199" s="195"/>
    </row>
    <row r="200" spans="1:17">
      <c r="A200" s="196"/>
      <c r="B200" s="197" t="s">
        <v>245</v>
      </c>
      <c r="C200" s="188" t="s">
        <v>280</v>
      </c>
      <c r="D200" s="172"/>
      <c r="E200" s="172"/>
      <c r="F200" s="172"/>
      <c r="G200" s="172"/>
      <c r="H200" s="172"/>
      <c r="I200" s="172"/>
      <c r="J200" s="172"/>
      <c r="K200" s="172"/>
      <c r="L200" s="172"/>
      <c r="M200" s="172"/>
      <c r="N200" s="172"/>
      <c r="O200" s="172"/>
      <c r="P200" s="172"/>
      <c r="Q200" s="173"/>
    </row>
    <row r="201" ht="14.25" spans="1:17">
      <c r="A201" s="198"/>
      <c r="B201" s="199" t="s">
        <v>247</v>
      </c>
      <c r="C201" s="200" t="s">
        <v>280</v>
      </c>
      <c r="D201" s="182"/>
      <c r="E201" s="182"/>
      <c r="F201" s="182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3"/>
    </row>
    <row r="202" spans="1:17">
      <c r="A202" s="201" t="s">
        <v>264</v>
      </c>
      <c r="B202" s="202" t="s">
        <v>269</v>
      </c>
      <c r="C202" s="185" t="s">
        <v>346</v>
      </c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7"/>
    </row>
    <row r="203" ht="14.25" spans="1:17">
      <c r="A203" s="198"/>
      <c r="B203" s="199" t="s">
        <v>271</v>
      </c>
      <c r="C203" s="200" t="s">
        <v>280</v>
      </c>
      <c r="D203" s="182"/>
      <c r="E203" s="182"/>
      <c r="F203" s="182"/>
      <c r="G203" s="182"/>
      <c r="H203" s="182"/>
      <c r="I203" s="182"/>
      <c r="J203" s="182"/>
      <c r="K203" s="182"/>
      <c r="L203" s="182"/>
      <c r="M203" s="182"/>
      <c r="N203" s="182"/>
      <c r="O203" s="182"/>
      <c r="P203" s="182"/>
      <c r="Q203" s="183"/>
    </row>
  </sheetData>
  <sheetProtection formatCells="0" formatColumns="0" formatRows="0" insertRows="0" insertColumns="0" insertHyperlinks="0" deleteColumns="0" deleteRows="0" sort="0" autoFilter="0" pivotTables="0"/>
  <mergeCells count="31">
    <mergeCell ref="A1:Q1"/>
    <mergeCell ref="A74:B74"/>
    <mergeCell ref="A2:A3"/>
    <mergeCell ref="A4:A10"/>
    <mergeCell ref="A11:A22"/>
    <mergeCell ref="A23:A29"/>
    <mergeCell ref="A30:A35"/>
    <mergeCell ref="A36:A47"/>
    <mergeCell ref="A48:A52"/>
    <mergeCell ref="A53:A66"/>
    <mergeCell ref="A67:A73"/>
    <mergeCell ref="A75:A82"/>
    <mergeCell ref="A83:A90"/>
    <mergeCell ref="A91:A98"/>
    <mergeCell ref="A99:A106"/>
    <mergeCell ref="A107:A109"/>
    <mergeCell ref="A110:A111"/>
    <mergeCell ref="A112:A117"/>
    <mergeCell ref="A118:A120"/>
    <mergeCell ref="A121:A130"/>
    <mergeCell ref="A131:A135"/>
    <mergeCell ref="A136:A143"/>
    <mergeCell ref="A144:A160"/>
    <mergeCell ref="A161:A169"/>
    <mergeCell ref="A170:A177"/>
    <mergeCell ref="A178:A191"/>
    <mergeCell ref="A192:A198"/>
    <mergeCell ref="A199:A201"/>
    <mergeCell ref="A202:A203"/>
    <mergeCell ref="B2:B3"/>
    <mergeCell ref="C2:C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0"/>
  <sheetViews>
    <sheetView workbookViewId="0">
      <selection activeCell="C80" sqref="C80"/>
    </sheetView>
  </sheetViews>
  <sheetFormatPr defaultColWidth="8.89166666666667" defaultRowHeight="13.5"/>
  <cols>
    <col min="1" max="1" width="8.89166666666667" style="21"/>
    <col min="2" max="2" width="20.2833333333333" style="20" customWidth="1"/>
    <col min="3" max="3" width="20.2833333333333" style="21" customWidth="1"/>
    <col min="4" max="4" width="12.6333333333333" style="20" hidden="1" customWidth="1"/>
    <col min="5" max="5" width="11.4416666666667" style="20" hidden="1" customWidth="1"/>
    <col min="6" max="6" width="53.8333333333333" style="20" customWidth="1"/>
    <col min="7" max="7" width="8.89166666666667" style="21"/>
    <col min="8" max="8" width="16.1083333333333" style="20" hidden="1" customWidth="1"/>
    <col min="9" max="15" width="8.89166666666667" style="20" hidden="1" customWidth="1"/>
    <col min="16" max="16384" width="8.89166666666667" style="20"/>
  </cols>
  <sheetData>
    <row r="1" s="20" customFormat="1" ht="56" customHeight="1" spans="1:15">
      <c r="A1" s="22" t="s">
        <v>0</v>
      </c>
      <c r="B1" s="23" t="s">
        <v>505</v>
      </c>
      <c r="C1" s="24" t="s">
        <v>506</v>
      </c>
      <c r="D1" s="23"/>
      <c r="E1" s="22" t="s">
        <v>8</v>
      </c>
      <c r="F1" s="23" t="s">
        <v>3</v>
      </c>
      <c r="G1" s="22" t="s">
        <v>307</v>
      </c>
      <c r="H1" s="25" t="s">
        <v>507</v>
      </c>
      <c r="I1" s="26" t="s">
        <v>508</v>
      </c>
      <c r="J1" s="26" t="s">
        <v>509</v>
      </c>
      <c r="K1" s="27" t="s">
        <v>510</v>
      </c>
      <c r="L1" s="27" t="s">
        <v>511</v>
      </c>
      <c r="M1" s="27" t="s">
        <v>512</v>
      </c>
      <c r="N1" s="27" t="s">
        <v>513</v>
      </c>
      <c r="O1" s="27" t="s">
        <v>514</v>
      </c>
    </row>
    <row r="2" s="20" customFormat="1" spans="1:15">
      <c r="A2" s="22">
        <v>1</v>
      </c>
      <c r="B2" s="28" t="s">
        <v>70</v>
      </c>
      <c r="C2" s="29">
        <v>1501</v>
      </c>
      <c r="D2" s="29">
        <v>1020</v>
      </c>
      <c r="E2" s="23">
        <v>14000001</v>
      </c>
      <c r="F2" s="30" t="s">
        <v>71</v>
      </c>
      <c r="G2" s="22" t="s">
        <v>280</v>
      </c>
      <c r="H2" s="31" t="s">
        <v>70</v>
      </c>
      <c r="I2" s="32" t="s">
        <v>70</v>
      </c>
      <c r="J2" s="32" t="s">
        <v>70</v>
      </c>
      <c r="L2" s="20" t="s">
        <v>70</v>
      </c>
    </row>
    <row r="3" s="20" customFormat="1" spans="1:15">
      <c r="A3" s="22">
        <v>2</v>
      </c>
      <c r="B3" s="28" t="s">
        <v>70</v>
      </c>
      <c r="C3" s="29">
        <v>1503</v>
      </c>
      <c r="D3" s="29">
        <v>1020</v>
      </c>
      <c r="E3" s="23">
        <v>14000005</v>
      </c>
      <c r="F3" s="30" t="s">
        <v>75</v>
      </c>
      <c r="G3" s="22" t="s">
        <v>280</v>
      </c>
      <c r="H3" s="20">
        <v>1020</v>
      </c>
      <c r="I3" s="32"/>
      <c r="J3" s="32"/>
    </row>
    <row r="4" s="20" customFormat="1" spans="1:15">
      <c r="A4" s="22">
        <v>4</v>
      </c>
      <c r="B4" s="28" t="s">
        <v>32</v>
      </c>
      <c r="C4" s="29">
        <v>1216</v>
      </c>
      <c r="D4" s="29">
        <v>1020</v>
      </c>
      <c r="E4" s="23">
        <v>14000015</v>
      </c>
      <c r="F4" s="28" t="s">
        <v>48</v>
      </c>
      <c r="G4" s="22" t="s">
        <v>280</v>
      </c>
      <c r="H4" s="32"/>
      <c r="I4" s="32"/>
      <c r="J4" s="32"/>
    </row>
    <row r="5" s="20" customFormat="1" spans="1:15">
      <c r="A5" s="22">
        <v>5</v>
      </c>
      <c r="B5" s="28" t="s">
        <v>70</v>
      </c>
      <c r="C5" s="29">
        <v>1502</v>
      </c>
      <c r="D5" s="29">
        <v>1020</v>
      </c>
      <c r="E5" s="23">
        <v>14000002</v>
      </c>
      <c r="F5" s="30" t="s">
        <v>515</v>
      </c>
      <c r="G5" s="22" t="s">
        <v>280</v>
      </c>
      <c r="I5" s="32"/>
      <c r="J5" s="32"/>
    </row>
    <row r="6" s="20" customFormat="1" spans="1:15">
      <c r="A6" s="22">
        <v>6</v>
      </c>
      <c r="B6" s="28" t="s">
        <v>70</v>
      </c>
      <c r="C6" s="29">
        <v>1504</v>
      </c>
      <c r="D6" s="29">
        <v>1020</v>
      </c>
      <c r="E6" s="33">
        <v>20000020</v>
      </c>
      <c r="F6" s="30" t="s">
        <v>516</v>
      </c>
      <c r="G6" s="22" t="s">
        <v>280</v>
      </c>
      <c r="I6" s="32"/>
      <c r="J6" s="32"/>
    </row>
    <row r="7" s="20" customFormat="1" spans="1:15">
      <c r="A7" s="22">
        <v>7</v>
      </c>
      <c r="B7" s="28" t="s">
        <v>70</v>
      </c>
      <c r="C7" s="29">
        <v>1505</v>
      </c>
      <c r="D7" s="29">
        <v>1020</v>
      </c>
      <c r="E7" s="33">
        <v>20000099</v>
      </c>
      <c r="F7" s="30" t="s">
        <v>517</v>
      </c>
      <c r="G7" s="22" t="s">
        <v>280</v>
      </c>
      <c r="H7" s="32"/>
      <c r="I7" s="32"/>
      <c r="J7" s="32"/>
    </row>
    <row r="8" s="20" customFormat="1" ht="16" customHeight="1" spans="1:15">
      <c r="A8" s="22">
        <v>8</v>
      </c>
      <c r="B8" s="23" t="s">
        <v>279</v>
      </c>
      <c r="C8" s="21">
        <v>1601</v>
      </c>
      <c r="D8" s="21">
        <v>1021</v>
      </c>
      <c r="E8" s="23">
        <v>14500001</v>
      </c>
      <c r="F8" s="34" t="s">
        <v>120</v>
      </c>
      <c r="G8" s="22" t="s">
        <v>280</v>
      </c>
      <c r="H8" s="35" t="s">
        <v>279</v>
      </c>
      <c r="I8" s="27" t="s">
        <v>279</v>
      </c>
      <c r="J8" s="27" t="s">
        <v>279</v>
      </c>
    </row>
    <row r="9" s="20" customFormat="1" spans="1:15">
      <c r="A9" s="22">
        <v>9</v>
      </c>
      <c r="B9" s="23" t="s">
        <v>279</v>
      </c>
      <c r="C9" s="21">
        <v>1602</v>
      </c>
      <c r="D9" s="21">
        <v>1021</v>
      </c>
      <c r="E9" s="23">
        <v>14500002</v>
      </c>
      <c r="F9" s="34" t="s">
        <v>122</v>
      </c>
      <c r="G9" s="36" t="s">
        <v>282</v>
      </c>
      <c r="H9" s="32">
        <v>1021</v>
      </c>
    </row>
    <row r="10" s="20" customFormat="1" spans="1:15">
      <c r="A10" s="22">
        <v>10</v>
      </c>
      <c r="B10" s="23" t="s">
        <v>279</v>
      </c>
      <c r="C10" s="21">
        <v>1603</v>
      </c>
      <c r="D10" s="21">
        <v>1021</v>
      </c>
      <c r="E10" s="23">
        <v>14500003</v>
      </c>
      <c r="F10" s="34" t="s">
        <v>124</v>
      </c>
      <c r="G10" s="37" t="s">
        <v>280</v>
      </c>
      <c r="H10" s="32"/>
    </row>
    <row r="11" s="20" customFormat="1" spans="1:15">
      <c r="A11" s="22">
        <v>11</v>
      </c>
      <c r="B11" s="23" t="s">
        <v>279</v>
      </c>
      <c r="C11" s="21">
        <v>1604</v>
      </c>
      <c r="D11" s="21">
        <v>1021</v>
      </c>
      <c r="E11" s="23">
        <v>14500004</v>
      </c>
      <c r="F11" s="34" t="s">
        <v>126</v>
      </c>
      <c r="G11" s="22" t="s">
        <v>280</v>
      </c>
      <c r="H11" s="32"/>
    </row>
    <row r="12" s="20" customFormat="1" spans="1:15">
      <c r="A12" s="22">
        <v>12</v>
      </c>
      <c r="B12" s="23" t="s">
        <v>279</v>
      </c>
      <c r="C12" s="21">
        <v>1605</v>
      </c>
      <c r="D12" s="21">
        <v>1021</v>
      </c>
      <c r="E12" s="23">
        <v>14500005</v>
      </c>
      <c r="F12" s="34" t="s">
        <v>128</v>
      </c>
      <c r="G12" s="22" t="s">
        <v>280</v>
      </c>
      <c r="H12" s="32"/>
    </row>
    <row r="13" s="20" customFormat="1" spans="1:15">
      <c r="A13" s="22">
        <v>13</v>
      </c>
      <c r="B13" s="28" t="s">
        <v>9</v>
      </c>
      <c r="C13" s="38">
        <v>1011</v>
      </c>
      <c r="D13" s="39">
        <v>1001</v>
      </c>
      <c r="E13" s="33">
        <v>10000018</v>
      </c>
      <c r="F13" s="28" t="s">
        <v>24</v>
      </c>
      <c r="G13" s="36" t="s">
        <v>82</v>
      </c>
      <c r="H13" s="20" t="s">
        <v>9</v>
      </c>
      <c r="I13" s="32" t="s">
        <v>9</v>
      </c>
      <c r="J13" s="32" t="s">
        <v>9</v>
      </c>
      <c r="K13" s="20" t="s">
        <v>9</v>
      </c>
      <c r="L13" s="20" t="s">
        <v>9</v>
      </c>
      <c r="M13" s="20" t="s">
        <v>9</v>
      </c>
      <c r="N13" s="20" t="s">
        <v>9</v>
      </c>
      <c r="O13" s="20" t="s">
        <v>9</v>
      </c>
    </row>
    <row r="14" s="20" customFormat="1" spans="1:15">
      <c r="A14" s="22">
        <v>14</v>
      </c>
      <c r="B14" s="28" t="s">
        <v>9</v>
      </c>
      <c r="C14" s="38">
        <v>1001</v>
      </c>
      <c r="D14" s="39">
        <v>1001</v>
      </c>
      <c r="E14" s="33">
        <v>10000001</v>
      </c>
      <c r="F14" s="28" t="s">
        <v>518</v>
      </c>
      <c r="G14" s="36" t="s">
        <v>82</v>
      </c>
      <c r="H14" s="40"/>
      <c r="I14" s="32"/>
      <c r="J14" s="32"/>
    </row>
    <row r="15" s="20" customFormat="1" spans="1:15">
      <c r="A15" s="22">
        <v>15</v>
      </c>
      <c r="B15" s="28" t="s">
        <v>9</v>
      </c>
      <c r="C15" s="38">
        <v>1002</v>
      </c>
      <c r="D15" s="39">
        <v>1001</v>
      </c>
      <c r="E15" s="33">
        <v>10000002</v>
      </c>
      <c r="F15" s="30" t="s">
        <v>347</v>
      </c>
      <c r="G15" s="36" t="s">
        <v>82</v>
      </c>
      <c r="I15" s="32"/>
      <c r="J15" s="32"/>
    </row>
    <row r="16" s="20" customFormat="1" spans="1:15">
      <c r="A16" s="22">
        <v>16</v>
      </c>
      <c r="B16" s="28" t="s">
        <v>9</v>
      </c>
      <c r="C16" s="38">
        <v>1003</v>
      </c>
      <c r="D16" s="39">
        <v>1001</v>
      </c>
      <c r="E16" s="33">
        <v>10000003</v>
      </c>
      <c r="F16" s="30" t="s">
        <v>348</v>
      </c>
      <c r="G16" s="36" t="s">
        <v>82</v>
      </c>
      <c r="I16" s="32"/>
      <c r="J16" s="32"/>
    </row>
    <row r="17" s="20" customFormat="1" spans="1:15">
      <c r="A17" s="22">
        <v>17</v>
      </c>
      <c r="B17" s="28" t="s">
        <v>9</v>
      </c>
      <c r="C17" s="38">
        <v>1005</v>
      </c>
      <c r="D17" s="39">
        <v>1001</v>
      </c>
      <c r="E17" s="33">
        <v>10000005</v>
      </c>
      <c r="F17" s="28" t="s">
        <v>519</v>
      </c>
      <c r="G17" s="36" t="s">
        <v>82</v>
      </c>
      <c r="I17" s="32"/>
      <c r="J17" s="32"/>
    </row>
    <row r="18" s="20" customFormat="1" spans="1:15">
      <c r="A18" s="22">
        <v>18</v>
      </c>
      <c r="B18" s="28" t="s">
        <v>25</v>
      </c>
      <c r="C18" s="38">
        <v>1101</v>
      </c>
      <c r="D18" s="39">
        <v>1005</v>
      </c>
      <c r="E18" s="33">
        <v>11000001</v>
      </c>
      <c r="F18" s="28" t="s">
        <v>520</v>
      </c>
      <c r="G18" s="22" t="s">
        <v>280</v>
      </c>
      <c r="H18" s="41"/>
      <c r="I18" s="31"/>
      <c r="J18" s="31"/>
      <c r="O18" s="20" t="s">
        <v>25</v>
      </c>
    </row>
    <row r="19" s="20" customFormat="1" spans="1:15">
      <c r="A19" s="22">
        <v>19</v>
      </c>
      <c r="B19" s="23" t="s">
        <v>283</v>
      </c>
      <c r="C19" s="22">
        <v>3401</v>
      </c>
      <c r="D19" s="22">
        <v>1095</v>
      </c>
      <c r="E19" s="23">
        <v>30000001</v>
      </c>
      <c r="F19" s="23" t="s">
        <v>284</v>
      </c>
      <c r="G19" s="22" t="s">
        <v>280</v>
      </c>
      <c r="H19" s="40"/>
      <c r="O19" s="20" t="s">
        <v>283</v>
      </c>
    </row>
    <row r="20" s="20" customFormat="1" spans="1:15">
      <c r="A20" s="22">
        <v>20</v>
      </c>
      <c r="B20" s="23" t="s">
        <v>283</v>
      </c>
      <c r="C20" s="22">
        <v>3402</v>
      </c>
      <c r="D20" s="22">
        <v>1095</v>
      </c>
      <c r="E20" s="23">
        <v>30000002</v>
      </c>
      <c r="F20" s="23" t="s">
        <v>285</v>
      </c>
      <c r="G20" s="22" t="s">
        <v>280</v>
      </c>
    </row>
    <row r="21" s="20" customFormat="1" spans="1:15">
      <c r="A21" s="22">
        <v>21</v>
      </c>
      <c r="B21" s="23" t="s">
        <v>283</v>
      </c>
      <c r="C21" s="22">
        <v>3403</v>
      </c>
      <c r="D21" s="22">
        <v>1095</v>
      </c>
      <c r="E21" s="23">
        <v>30000003</v>
      </c>
      <c r="F21" s="23" t="s">
        <v>286</v>
      </c>
      <c r="G21" s="22" t="s">
        <v>280</v>
      </c>
    </row>
    <row r="22" s="20" customFormat="1" spans="1:15">
      <c r="A22" s="22">
        <v>22</v>
      </c>
      <c r="B22" s="23" t="s">
        <v>283</v>
      </c>
      <c r="C22" s="22">
        <v>3404</v>
      </c>
      <c r="D22" s="22">
        <v>1095</v>
      </c>
      <c r="E22" s="23">
        <v>30000004</v>
      </c>
      <c r="F22" s="23" t="s">
        <v>287</v>
      </c>
      <c r="G22" s="22" t="s">
        <v>280</v>
      </c>
    </row>
    <row r="23" s="20" customFormat="1" spans="1:15">
      <c r="A23" s="22">
        <v>23</v>
      </c>
      <c r="B23" s="23" t="s">
        <v>283</v>
      </c>
      <c r="C23" s="22">
        <v>3405</v>
      </c>
      <c r="D23" s="22">
        <v>1095</v>
      </c>
      <c r="E23" s="23">
        <v>30000005</v>
      </c>
      <c r="F23" s="23" t="s">
        <v>288</v>
      </c>
      <c r="G23" s="22" t="s">
        <v>280</v>
      </c>
    </row>
    <row r="24" s="20" customFormat="1" spans="1:15">
      <c r="A24" s="22">
        <v>24</v>
      </c>
      <c r="B24" s="23" t="s">
        <v>283</v>
      </c>
      <c r="C24" s="22">
        <v>3406</v>
      </c>
      <c r="D24" s="22">
        <v>1095</v>
      </c>
      <c r="E24" s="23">
        <v>30000006</v>
      </c>
      <c r="F24" s="23" t="s">
        <v>289</v>
      </c>
      <c r="G24" s="22" t="s">
        <v>280</v>
      </c>
    </row>
    <row r="25" s="20" customFormat="1" spans="1:15">
      <c r="A25" s="22">
        <v>25</v>
      </c>
      <c r="B25" s="28" t="s">
        <v>152</v>
      </c>
      <c r="C25" s="38">
        <v>2106</v>
      </c>
      <c r="D25" s="39">
        <v>1035</v>
      </c>
      <c r="E25" s="33">
        <v>19000010</v>
      </c>
      <c r="F25" s="28" t="s">
        <v>159</v>
      </c>
      <c r="G25" s="22" t="s">
        <v>280</v>
      </c>
      <c r="H25" s="32" t="s">
        <v>152</v>
      </c>
      <c r="I25" s="32" t="s">
        <v>152</v>
      </c>
      <c r="J25" s="32" t="s">
        <v>152</v>
      </c>
      <c r="K25" s="20" t="s">
        <v>152</v>
      </c>
    </row>
    <row r="26" s="20" customFormat="1" spans="1:15">
      <c r="A26" s="22">
        <v>26</v>
      </c>
      <c r="B26" s="28" t="s">
        <v>152</v>
      </c>
      <c r="C26" s="38">
        <v>2101</v>
      </c>
      <c r="D26" s="39">
        <v>1035</v>
      </c>
      <c r="E26" s="33">
        <v>19000001</v>
      </c>
      <c r="F26" s="30" t="s">
        <v>153</v>
      </c>
      <c r="G26" s="22" t="s">
        <v>280</v>
      </c>
      <c r="I26" s="32"/>
      <c r="J26" s="32"/>
    </row>
    <row r="27" s="20" customFormat="1" spans="1:15">
      <c r="A27" s="22">
        <v>27</v>
      </c>
      <c r="B27" s="23" t="s">
        <v>290</v>
      </c>
      <c r="C27" s="21">
        <v>3501</v>
      </c>
      <c r="D27" s="39">
        <v>1036</v>
      </c>
      <c r="E27" s="23">
        <v>19500001</v>
      </c>
      <c r="F27" s="34" t="s">
        <v>291</v>
      </c>
      <c r="G27" s="22" t="s">
        <v>280</v>
      </c>
      <c r="K27" s="20" t="s">
        <v>290</v>
      </c>
    </row>
    <row r="28" s="20" customFormat="1" spans="1:15">
      <c r="A28" s="22">
        <v>28</v>
      </c>
      <c r="B28" s="23" t="s">
        <v>290</v>
      </c>
      <c r="C28" s="21">
        <v>3502</v>
      </c>
      <c r="D28" s="39">
        <v>1036</v>
      </c>
      <c r="E28" s="23">
        <v>19500002</v>
      </c>
      <c r="F28" s="34" t="s">
        <v>292</v>
      </c>
      <c r="G28" s="22" t="s">
        <v>280</v>
      </c>
    </row>
    <row r="29" s="20" customFormat="1" spans="1:15">
      <c r="A29" s="22">
        <v>29</v>
      </c>
      <c r="B29" s="23" t="s">
        <v>290</v>
      </c>
      <c r="C29" s="21">
        <v>3503</v>
      </c>
      <c r="D29" s="39">
        <v>1036</v>
      </c>
      <c r="E29" s="23">
        <v>19500003</v>
      </c>
      <c r="F29" s="34" t="s">
        <v>293</v>
      </c>
      <c r="G29" s="22" t="s">
        <v>280</v>
      </c>
    </row>
    <row r="30" s="20" customFormat="1" spans="1:15">
      <c r="A30" s="22">
        <v>30</v>
      </c>
      <c r="B30" s="23" t="s">
        <v>290</v>
      </c>
      <c r="C30" s="21">
        <v>3504</v>
      </c>
      <c r="D30" s="39">
        <v>1036</v>
      </c>
      <c r="E30" s="23">
        <v>19500004</v>
      </c>
      <c r="F30" s="34" t="s">
        <v>294</v>
      </c>
      <c r="G30" s="22" t="s">
        <v>280</v>
      </c>
    </row>
    <row r="31" s="20" customFormat="1" spans="1:15">
      <c r="A31" s="22">
        <v>31</v>
      </c>
      <c r="B31" s="23" t="s">
        <v>290</v>
      </c>
      <c r="C31" s="21">
        <v>3505</v>
      </c>
      <c r="D31" s="39">
        <v>1036</v>
      </c>
      <c r="E31" s="23">
        <v>19500005</v>
      </c>
      <c r="F31" s="34" t="s">
        <v>295</v>
      </c>
      <c r="G31" s="22" t="s">
        <v>280</v>
      </c>
    </row>
    <row r="32" s="20" customFormat="1" spans="1:15">
      <c r="A32" s="22">
        <v>32</v>
      </c>
      <c r="B32" s="23" t="s">
        <v>290</v>
      </c>
      <c r="C32" s="21">
        <v>3506</v>
      </c>
      <c r="D32" s="39">
        <v>1036</v>
      </c>
      <c r="E32" s="23">
        <v>19500006</v>
      </c>
      <c r="F32" s="34" t="s">
        <v>296</v>
      </c>
      <c r="G32" s="22" t="s">
        <v>280</v>
      </c>
    </row>
    <row r="33" s="20" customFormat="1" spans="1:14">
      <c r="A33" s="22">
        <v>33</v>
      </c>
      <c r="B33" s="23" t="s">
        <v>290</v>
      </c>
      <c r="C33" s="21">
        <v>3507</v>
      </c>
      <c r="D33" s="39">
        <v>1036</v>
      </c>
      <c r="E33" s="23">
        <v>19500007</v>
      </c>
      <c r="F33" s="34" t="s">
        <v>297</v>
      </c>
      <c r="G33" s="22" t="s">
        <v>280</v>
      </c>
    </row>
    <row r="34" s="20" customFormat="1" spans="1:14">
      <c r="A34" s="22">
        <v>34</v>
      </c>
      <c r="B34" s="23" t="s">
        <v>290</v>
      </c>
      <c r="C34" s="21">
        <v>3508</v>
      </c>
      <c r="D34" s="39">
        <v>1036</v>
      </c>
      <c r="E34" s="23">
        <v>19500008</v>
      </c>
      <c r="F34" s="34" t="s">
        <v>298</v>
      </c>
      <c r="G34" s="22" t="s">
        <v>280</v>
      </c>
    </row>
    <row r="35" s="20" customFormat="1" spans="1:14">
      <c r="A35" s="22">
        <v>35</v>
      </c>
      <c r="B35" s="23" t="s">
        <v>290</v>
      </c>
      <c r="C35" s="21">
        <v>3509</v>
      </c>
      <c r="D35" s="39">
        <v>1036</v>
      </c>
      <c r="E35" s="23">
        <v>19500009</v>
      </c>
      <c r="F35" s="34" t="s">
        <v>299</v>
      </c>
      <c r="G35" s="22" t="s">
        <v>280</v>
      </c>
    </row>
    <row r="36" s="20" customFormat="1" spans="1:14">
      <c r="A36" s="22">
        <v>36</v>
      </c>
      <c r="B36" s="23" t="s">
        <v>290</v>
      </c>
      <c r="C36" s="21">
        <v>3510</v>
      </c>
      <c r="D36" s="39">
        <v>1036</v>
      </c>
      <c r="E36" s="23">
        <v>19500010</v>
      </c>
      <c r="F36" s="34" t="s">
        <v>300</v>
      </c>
      <c r="G36" s="22" t="s">
        <v>280</v>
      </c>
    </row>
    <row r="37" s="20" customFormat="1" ht="14" customHeight="1" spans="1:14">
      <c r="A37" s="22">
        <v>37</v>
      </c>
      <c r="B37" s="23" t="s">
        <v>301</v>
      </c>
      <c r="C37" s="22">
        <v>1401</v>
      </c>
      <c r="D37" s="22">
        <v>1080</v>
      </c>
      <c r="E37" s="23">
        <v>31000001</v>
      </c>
      <c r="F37" s="34" t="s">
        <v>72</v>
      </c>
      <c r="G37" s="22" t="s">
        <v>280</v>
      </c>
      <c r="L37" s="27" t="s">
        <v>301</v>
      </c>
      <c r="M37" s="27" t="s">
        <v>301</v>
      </c>
      <c r="N37" s="27" t="s">
        <v>301</v>
      </c>
    </row>
    <row r="38" s="20" customFormat="1" spans="1:14">
      <c r="A38" s="22">
        <v>38</v>
      </c>
      <c r="B38" s="23" t="s">
        <v>301</v>
      </c>
      <c r="C38" s="22">
        <v>1402</v>
      </c>
      <c r="D38" s="22">
        <v>1080</v>
      </c>
      <c r="E38" s="23">
        <v>31000002</v>
      </c>
      <c r="F38" s="34" t="s">
        <v>74</v>
      </c>
      <c r="G38" s="22" t="s">
        <v>280</v>
      </c>
    </row>
    <row r="39" s="20" customFormat="1" ht="14" customHeight="1" spans="1:14">
      <c r="A39" s="22">
        <v>39</v>
      </c>
      <c r="B39" s="23" t="s">
        <v>301</v>
      </c>
      <c r="C39" s="22">
        <v>1403</v>
      </c>
      <c r="D39" s="22">
        <v>1080</v>
      </c>
      <c r="E39" s="23">
        <v>31000003</v>
      </c>
      <c r="F39" s="34" t="s">
        <v>76</v>
      </c>
      <c r="G39" s="22" t="s">
        <v>280</v>
      </c>
    </row>
    <row r="40" s="20" customFormat="1" ht="14" customHeight="1" spans="1:14">
      <c r="A40" s="22">
        <v>40</v>
      </c>
      <c r="B40" s="23" t="s">
        <v>301</v>
      </c>
      <c r="C40" s="22">
        <v>1404</v>
      </c>
      <c r="D40" s="22">
        <v>1080</v>
      </c>
      <c r="E40" s="23">
        <v>31000004</v>
      </c>
      <c r="F40" s="34" t="s">
        <v>78</v>
      </c>
      <c r="G40" s="22" t="s">
        <v>280</v>
      </c>
    </row>
    <row r="41" s="20" customFormat="1" ht="14" customHeight="1" spans="1:14">
      <c r="A41" s="22">
        <v>41</v>
      </c>
      <c r="B41" s="23" t="s">
        <v>301</v>
      </c>
      <c r="C41" s="22">
        <v>1405</v>
      </c>
      <c r="D41" s="22">
        <v>1080</v>
      </c>
      <c r="E41" s="23">
        <v>31000005</v>
      </c>
      <c r="F41" s="23" t="s">
        <v>80</v>
      </c>
      <c r="G41" s="22" t="s">
        <v>280</v>
      </c>
    </row>
    <row r="42" s="20" customFormat="1" ht="14" customHeight="1" spans="1:14">
      <c r="A42" s="22">
        <v>42</v>
      </c>
      <c r="B42" s="23" t="s">
        <v>301</v>
      </c>
      <c r="C42" s="22">
        <v>1406</v>
      </c>
      <c r="D42" s="22">
        <v>1080</v>
      </c>
      <c r="E42" s="23">
        <v>31000006</v>
      </c>
      <c r="F42" s="23" t="s">
        <v>83</v>
      </c>
      <c r="G42" s="22" t="s">
        <v>280</v>
      </c>
    </row>
    <row r="43" s="20" customFormat="1" ht="14" customHeight="1" spans="1:14">
      <c r="A43" s="22">
        <v>43</v>
      </c>
      <c r="B43" s="23" t="s">
        <v>301</v>
      </c>
      <c r="C43" s="22">
        <v>1407</v>
      </c>
      <c r="D43" s="22">
        <v>1080</v>
      </c>
      <c r="E43" s="23">
        <v>31000007</v>
      </c>
      <c r="F43" s="23" t="s">
        <v>85</v>
      </c>
      <c r="G43" s="22" t="s">
        <v>280</v>
      </c>
    </row>
    <row r="44" s="20" customFormat="1" ht="14" customHeight="1" spans="1:14">
      <c r="A44" s="22">
        <v>44</v>
      </c>
      <c r="B44" s="23" t="s">
        <v>301</v>
      </c>
      <c r="C44" s="22">
        <v>1408</v>
      </c>
      <c r="D44" s="22">
        <v>1080</v>
      </c>
      <c r="E44" s="23">
        <v>31000008</v>
      </c>
      <c r="F44" s="23" t="s">
        <v>87</v>
      </c>
      <c r="G44" s="22" t="s">
        <v>280</v>
      </c>
    </row>
    <row r="45" s="20" customFormat="1" ht="14" customHeight="1" spans="1:14">
      <c r="A45" s="22">
        <v>45</v>
      </c>
      <c r="B45" s="23" t="s">
        <v>301</v>
      </c>
      <c r="C45" s="22">
        <v>1409</v>
      </c>
      <c r="D45" s="22">
        <v>1080</v>
      </c>
      <c r="E45" s="23">
        <v>31000009</v>
      </c>
      <c r="F45" s="34" t="s">
        <v>89</v>
      </c>
      <c r="G45" s="22" t="s">
        <v>280</v>
      </c>
    </row>
    <row r="46" s="20" customFormat="1" ht="14" customHeight="1" spans="1:14">
      <c r="A46" s="22">
        <v>46</v>
      </c>
      <c r="B46" s="23" t="s">
        <v>301</v>
      </c>
      <c r="C46" s="22">
        <v>1410</v>
      </c>
      <c r="D46" s="22">
        <v>1080</v>
      </c>
      <c r="E46" s="23">
        <v>31000010</v>
      </c>
      <c r="F46" s="34" t="s">
        <v>91</v>
      </c>
      <c r="G46" s="22" t="s">
        <v>280</v>
      </c>
    </row>
    <row r="47" s="20" customFormat="1" ht="14" customHeight="1" spans="1:14">
      <c r="A47" s="22">
        <v>47</v>
      </c>
      <c r="B47" s="23" t="s">
        <v>301</v>
      </c>
      <c r="C47" s="22">
        <v>1411</v>
      </c>
      <c r="D47" s="22">
        <v>1080</v>
      </c>
      <c r="E47" s="23">
        <v>31000011</v>
      </c>
      <c r="F47" s="34" t="s">
        <v>93</v>
      </c>
      <c r="G47" s="22" t="s">
        <v>280</v>
      </c>
    </row>
    <row r="48" s="20" customFormat="1" ht="14" customHeight="1" spans="1:14">
      <c r="A48" s="22">
        <v>48</v>
      </c>
      <c r="B48" s="23" t="s">
        <v>301</v>
      </c>
      <c r="C48" s="22">
        <v>1412</v>
      </c>
      <c r="D48" s="22">
        <v>1080</v>
      </c>
      <c r="E48" s="23">
        <v>31000012</v>
      </c>
      <c r="F48" s="34" t="s">
        <v>95</v>
      </c>
      <c r="G48" s="22" t="s">
        <v>280</v>
      </c>
    </row>
    <row r="49" s="20" customFormat="1" ht="14" customHeight="1" spans="1:15">
      <c r="A49" s="22">
        <v>49</v>
      </c>
      <c r="B49" s="23" t="s">
        <v>301</v>
      </c>
      <c r="C49" s="22">
        <v>1413</v>
      </c>
      <c r="D49" s="22">
        <v>1080</v>
      </c>
      <c r="E49" s="23">
        <v>31000013</v>
      </c>
      <c r="F49" s="34" t="s">
        <v>99</v>
      </c>
      <c r="G49" s="42" t="s">
        <v>280</v>
      </c>
    </row>
    <row r="50" s="20" customFormat="1" ht="14" customHeight="1" spans="1:15">
      <c r="A50" s="22">
        <v>50</v>
      </c>
      <c r="B50" s="23" t="s">
        <v>301</v>
      </c>
      <c r="C50" s="22">
        <v>1414</v>
      </c>
      <c r="D50" s="22">
        <v>1080</v>
      </c>
      <c r="E50" s="23">
        <v>31000014</v>
      </c>
      <c r="F50" s="34" t="s">
        <v>101</v>
      </c>
      <c r="G50" s="42" t="s">
        <v>280</v>
      </c>
    </row>
    <row r="51" s="20" customFormat="1" ht="14" customHeight="1" spans="1:15">
      <c r="A51" s="22">
        <v>51</v>
      </c>
      <c r="B51" s="23" t="s">
        <v>301</v>
      </c>
      <c r="C51" s="22">
        <v>1415</v>
      </c>
      <c r="D51" s="22">
        <v>1080</v>
      </c>
      <c r="E51" s="23">
        <v>31000015</v>
      </c>
      <c r="F51" s="34" t="s">
        <v>103</v>
      </c>
      <c r="G51" s="42" t="s">
        <v>280</v>
      </c>
    </row>
    <row r="52" s="20" customFormat="1" spans="1:15">
      <c r="A52" s="22">
        <v>52</v>
      </c>
      <c r="B52" s="23" t="s">
        <v>301</v>
      </c>
      <c r="C52" s="22">
        <v>1416</v>
      </c>
      <c r="D52" s="22">
        <v>1080</v>
      </c>
      <c r="E52" s="23">
        <v>31000016</v>
      </c>
      <c r="F52" s="34" t="s">
        <v>105</v>
      </c>
      <c r="G52" s="42" t="s">
        <v>280</v>
      </c>
    </row>
    <row r="53" s="20" customFormat="1" ht="15" customHeight="1" spans="1:15">
      <c r="A53" s="22">
        <v>53</v>
      </c>
      <c r="B53" s="23" t="s">
        <v>303</v>
      </c>
      <c r="C53" s="21">
        <v>2801</v>
      </c>
      <c r="D53" s="39">
        <v>1085</v>
      </c>
      <c r="E53" s="23">
        <v>32000001</v>
      </c>
      <c r="F53" s="23" t="s">
        <v>228</v>
      </c>
      <c r="G53" s="22" t="s">
        <v>280</v>
      </c>
      <c r="H53" s="43" t="s">
        <v>303</v>
      </c>
      <c r="I53" s="27" t="s">
        <v>303</v>
      </c>
      <c r="J53" s="27" t="s">
        <v>303</v>
      </c>
      <c r="K53" s="27" t="s">
        <v>303</v>
      </c>
      <c r="L53" s="27"/>
      <c r="M53" s="27"/>
      <c r="O53" s="27" t="s">
        <v>303</v>
      </c>
    </row>
    <row r="54" s="20" customFormat="1" spans="1:15">
      <c r="A54" s="22">
        <v>54</v>
      </c>
      <c r="B54" s="23" t="s">
        <v>303</v>
      </c>
      <c r="C54" s="21">
        <v>2802</v>
      </c>
      <c r="D54" s="39">
        <v>1085</v>
      </c>
      <c r="E54" s="23">
        <v>32000002</v>
      </c>
      <c r="F54" s="23" t="s">
        <v>232</v>
      </c>
      <c r="G54" s="22" t="s">
        <v>280</v>
      </c>
      <c r="H54" s="32"/>
    </row>
    <row r="55" s="20" customFormat="1" spans="1:15">
      <c r="A55" s="22">
        <v>55</v>
      </c>
      <c r="B55" s="23" t="s">
        <v>303</v>
      </c>
      <c r="C55" s="21">
        <v>2803</v>
      </c>
      <c r="D55" s="39">
        <v>1085</v>
      </c>
      <c r="E55" s="23">
        <v>32000003</v>
      </c>
      <c r="F55" s="44" t="s">
        <v>234</v>
      </c>
      <c r="G55" s="22" t="s">
        <v>280</v>
      </c>
      <c r="H55" s="32"/>
    </row>
    <row r="56" s="20" customFormat="1" spans="1:15">
      <c r="A56" s="22">
        <v>56</v>
      </c>
      <c r="B56" s="23" t="s">
        <v>303</v>
      </c>
      <c r="C56" s="21">
        <v>2804</v>
      </c>
      <c r="D56" s="39">
        <v>1085</v>
      </c>
      <c r="E56" s="23">
        <v>32000004</v>
      </c>
      <c r="F56" s="23" t="s">
        <v>236</v>
      </c>
      <c r="G56" s="22" t="s">
        <v>280</v>
      </c>
      <c r="H56" s="32"/>
    </row>
    <row r="57" s="20" customFormat="1" spans="1:15">
      <c r="A57" s="22">
        <v>57</v>
      </c>
      <c r="B57" s="23" t="s">
        <v>303</v>
      </c>
      <c r="C57" s="21">
        <v>2805</v>
      </c>
      <c r="D57" s="39">
        <v>1085</v>
      </c>
      <c r="E57" s="23">
        <v>32000005</v>
      </c>
      <c r="F57" s="23" t="s">
        <v>238</v>
      </c>
      <c r="G57" s="22" t="s">
        <v>280</v>
      </c>
      <c r="H57" s="32"/>
    </row>
    <row r="58" s="20" customFormat="1" spans="1:15">
      <c r="A58" s="22">
        <v>58</v>
      </c>
      <c r="B58" s="23" t="s">
        <v>303</v>
      </c>
      <c r="C58" s="21">
        <v>2806</v>
      </c>
      <c r="D58" s="39">
        <v>1085</v>
      </c>
      <c r="E58" s="23">
        <v>32000006</v>
      </c>
      <c r="F58" s="23" t="s">
        <v>240</v>
      </c>
      <c r="G58" s="22" t="s">
        <v>280</v>
      </c>
      <c r="H58" s="32"/>
    </row>
    <row r="59" s="20" customFormat="1" spans="1:15">
      <c r="A59" s="22">
        <v>59</v>
      </c>
      <c r="B59" s="23" t="s">
        <v>303</v>
      </c>
      <c r="C59" s="21">
        <v>2807</v>
      </c>
      <c r="D59" s="39">
        <v>1085</v>
      </c>
      <c r="E59" s="23">
        <v>32000007</v>
      </c>
      <c r="F59" s="23" t="s">
        <v>242</v>
      </c>
      <c r="G59" s="22" t="s">
        <v>280</v>
      </c>
      <c r="H59" s="32"/>
    </row>
    <row r="60" s="20" customFormat="1" spans="1:15">
      <c r="A60" s="22">
        <v>60</v>
      </c>
      <c r="B60" s="23" t="s">
        <v>303</v>
      </c>
      <c r="C60" s="21">
        <v>2808</v>
      </c>
      <c r="D60" s="39">
        <v>1085</v>
      </c>
      <c r="E60" s="23">
        <v>32000008</v>
      </c>
      <c r="F60" s="23" t="s">
        <v>244</v>
      </c>
      <c r="G60" s="22" t="s">
        <v>280</v>
      </c>
      <c r="H60" s="32"/>
    </row>
    <row r="61" s="20" customFormat="1" spans="1:15">
      <c r="A61" s="22">
        <v>61</v>
      </c>
      <c r="B61" s="23" t="s">
        <v>303</v>
      </c>
      <c r="C61" s="21">
        <v>2809</v>
      </c>
      <c r="D61" s="39">
        <v>1085</v>
      </c>
      <c r="E61" s="23">
        <v>32000009</v>
      </c>
      <c r="F61" s="23" t="s">
        <v>246</v>
      </c>
      <c r="G61" s="22" t="s">
        <v>280</v>
      </c>
      <c r="H61" s="32"/>
    </row>
    <row r="62" s="20" customFormat="1" spans="1:15">
      <c r="A62" s="22">
        <v>62</v>
      </c>
      <c r="B62" s="23" t="s">
        <v>303</v>
      </c>
      <c r="C62" s="21">
        <v>2810</v>
      </c>
      <c r="D62" s="39">
        <v>1085</v>
      </c>
      <c r="E62" s="23">
        <v>32000010</v>
      </c>
      <c r="F62" s="23" t="s">
        <v>248</v>
      </c>
      <c r="G62" s="22" t="s">
        <v>280</v>
      </c>
      <c r="H62" s="32"/>
    </row>
    <row r="63" s="20" customFormat="1" spans="1:15">
      <c r="A63" s="22">
        <v>63</v>
      </c>
      <c r="B63" s="23" t="s">
        <v>303</v>
      </c>
      <c r="C63" s="21">
        <v>2811</v>
      </c>
      <c r="D63" s="39">
        <v>1085</v>
      </c>
      <c r="E63" s="23">
        <v>32000011</v>
      </c>
      <c r="F63" s="23" t="s">
        <v>251</v>
      </c>
      <c r="G63" s="22" t="s">
        <v>280</v>
      </c>
      <c r="H63" s="32"/>
    </row>
    <row r="64" s="20" customFormat="1" spans="1:15">
      <c r="A64" s="22">
        <v>64</v>
      </c>
      <c r="B64" s="23" t="s">
        <v>303</v>
      </c>
      <c r="C64" s="21">
        <v>2812</v>
      </c>
      <c r="D64" s="39">
        <v>1085</v>
      </c>
      <c r="E64" s="23">
        <v>32000012</v>
      </c>
      <c r="F64" s="23" t="s">
        <v>253</v>
      </c>
      <c r="G64" s="22" t="s">
        <v>280</v>
      </c>
      <c r="H64" s="32"/>
    </row>
    <row r="65" s="20" customFormat="1" spans="1:15">
      <c r="A65" s="22">
        <v>65</v>
      </c>
      <c r="B65" s="23" t="s">
        <v>303</v>
      </c>
      <c r="C65" s="21">
        <v>2813</v>
      </c>
      <c r="D65" s="39">
        <v>1085</v>
      </c>
      <c r="E65" s="23">
        <v>32000013</v>
      </c>
      <c r="F65" s="23" t="s">
        <v>255</v>
      </c>
      <c r="G65" s="22" t="s">
        <v>280</v>
      </c>
      <c r="H65" s="32"/>
    </row>
    <row r="66" s="20" customFormat="1" spans="1:15">
      <c r="A66" s="22">
        <v>66</v>
      </c>
      <c r="B66" s="23" t="s">
        <v>303</v>
      </c>
      <c r="C66" s="21">
        <v>2814</v>
      </c>
      <c r="D66" s="39">
        <v>1085</v>
      </c>
      <c r="E66" s="23">
        <v>32000014</v>
      </c>
      <c r="F66" s="23" t="s">
        <v>257</v>
      </c>
      <c r="G66" s="22" t="s">
        <v>280</v>
      </c>
      <c r="H66" s="32"/>
    </row>
    <row r="67" s="20" customFormat="1" spans="1:15">
      <c r="A67" s="22">
        <v>67</v>
      </c>
      <c r="B67" s="23" t="s">
        <v>303</v>
      </c>
      <c r="C67" s="21">
        <v>2815</v>
      </c>
      <c r="D67" s="39">
        <v>1085</v>
      </c>
      <c r="E67" s="23">
        <v>32000015</v>
      </c>
      <c r="F67" s="23" t="s">
        <v>259</v>
      </c>
      <c r="G67" s="22" t="s">
        <v>280</v>
      </c>
      <c r="H67" s="32"/>
    </row>
    <row r="68" s="20" customFormat="1" spans="1:15">
      <c r="A68" s="22">
        <v>68</v>
      </c>
      <c r="B68" s="23" t="s">
        <v>303</v>
      </c>
      <c r="C68" s="21">
        <v>2816</v>
      </c>
      <c r="D68" s="39">
        <v>1085</v>
      </c>
      <c r="E68" s="23">
        <v>32000016</v>
      </c>
      <c r="F68" s="23" t="s">
        <v>261</v>
      </c>
      <c r="G68" s="22" t="s">
        <v>280</v>
      </c>
      <c r="H68" s="32"/>
    </row>
    <row r="69" s="20" customFormat="1" spans="1:15">
      <c r="A69" s="22">
        <v>69</v>
      </c>
      <c r="B69" s="23" t="s">
        <v>303</v>
      </c>
      <c r="C69" s="21">
        <v>2817</v>
      </c>
      <c r="D69" s="39">
        <v>1085</v>
      </c>
      <c r="E69" s="23">
        <v>32000017</v>
      </c>
      <c r="F69" s="23" t="s">
        <v>263</v>
      </c>
      <c r="G69" s="22" t="s">
        <v>280</v>
      </c>
      <c r="H69" s="32"/>
    </row>
    <row r="70" s="20" customFormat="1" spans="1:15">
      <c r="A70" s="22">
        <v>70</v>
      </c>
      <c r="B70" s="23" t="s">
        <v>303</v>
      </c>
      <c r="C70" s="21">
        <v>2818</v>
      </c>
      <c r="D70" s="39">
        <v>1085</v>
      </c>
      <c r="E70" s="23">
        <v>32000018</v>
      </c>
      <c r="F70" s="23" t="s">
        <v>266</v>
      </c>
      <c r="G70" s="22" t="s">
        <v>280</v>
      </c>
      <c r="H70" s="32"/>
    </row>
    <row r="71" s="20" customFormat="1" spans="1:15">
      <c r="A71" s="22">
        <v>71</v>
      </c>
      <c r="B71" s="23" t="s">
        <v>303</v>
      </c>
      <c r="C71" s="21">
        <v>2819</v>
      </c>
      <c r="D71" s="39">
        <v>1085</v>
      </c>
      <c r="E71" s="23">
        <v>32000019</v>
      </c>
      <c r="F71" s="23" t="s">
        <v>268</v>
      </c>
      <c r="G71" s="22" t="s">
        <v>280</v>
      </c>
      <c r="H71" s="32"/>
    </row>
    <row r="72" s="20" customFormat="1" spans="1:15">
      <c r="A72" s="22">
        <v>72</v>
      </c>
      <c r="B72" s="23" t="s">
        <v>303</v>
      </c>
      <c r="C72" s="21">
        <v>2820</v>
      </c>
      <c r="D72" s="39">
        <v>1085</v>
      </c>
      <c r="E72" s="23">
        <v>32000020</v>
      </c>
      <c r="F72" s="23" t="s">
        <v>270</v>
      </c>
      <c r="G72" s="22" t="s">
        <v>280</v>
      </c>
      <c r="H72" s="32"/>
    </row>
    <row r="73" s="20" customFormat="1" spans="1:15">
      <c r="A73" s="22">
        <v>73</v>
      </c>
      <c r="B73" s="23" t="s">
        <v>303</v>
      </c>
      <c r="C73" s="21">
        <v>2821</v>
      </c>
      <c r="D73" s="39">
        <v>1085</v>
      </c>
      <c r="E73" s="23">
        <v>32000021</v>
      </c>
      <c r="F73" s="23" t="s">
        <v>272</v>
      </c>
      <c r="G73" s="22" t="s">
        <v>280</v>
      </c>
      <c r="H73" s="32"/>
    </row>
    <row r="74" s="20" customFormat="1" spans="1:15">
      <c r="A74" s="22">
        <v>74</v>
      </c>
      <c r="B74" s="23" t="s">
        <v>303</v>
      </c>
      <c r="C74" s="21">
        <v>2822</v>
      </c>
      <c r="D74" s="39">
        <v>1085</v>
      </c>
      <c r="E74" s="23">
        <v>32000022</v>
      </c>
      <c r="F74" s="23" t="s">
        <v>274</v>
      </c>
      <c r="G74" s="22" t="s">
        <v>280</v>
      </c>
      <c r="H74" s="32"/>
    </row>
    <row r="75" s="20" customFormat="1" spans="1:15">
      <c r="A75" s="22">
        <v>75</v>
      </c>
      <c r="B75" s="23" t="s">
        <v>303</v>
      </c>
      <c r="C75" s="21">
        <v>2823</v>
      </c>
      <c r="D75" s="39">
        <v>1085</v>
      </c>
      <c r="E75" s="23">
        <v>32000023</v>
      </c>
      <c r="F75" s="23" t="s">
        <v>276</v>
      </c>
      <c r="G75" s="22" t="s">
        <v>280</v>
      </c>
      <c r="H75" s="32"/>
    </row>
    <row r="76" s="20" customFormat="1" spans="1:15">
      <c r="A76" s="22">
        <v>76</v>
      </c>
      <c r="B76" s="23" t="s">
        <v>303</v>
      </c>
      <c r="C76" s="21">
        <v>2824</v>
      </c>
      <c r="D76" s="39">
        <v>1085</v>
      </c>
      <c r="E76" s="23">
        <v>32000024</v>
      </c>
      <c r="F76" s="23" t="s">
        <v>278</v>
      </c>
      <c r="G76" s="22" t="s">
        <v>280</v>
      </c>
      <c r="H76" s="32"/>
    </row>
    <row r="77" s="20" customFormat="1" spans="1:15">
      <c r="A77" s="22">
        <v>77</v>
      </c>
      <c r="B77" s="28" t="s">
        <v>170</v>
      </c>
      <c r="C77" s="38">
        <v>2402</v>
      </c>
      <c r="D77" s="39">
        <v>1045</v>
      </c>
      <c r="E77" s="33">
        <v>21000002</v>
      </c>
      <c r="F77" s="28" t="s">
        <v>521</v>
      </c>
      <c r="G77" s="22" t="s">
        <v>280</v>
      </c>
      <c r="H77" s="20" t="s">
        <v>170</v>
      </c>
      <c r="I77" s="32" t="s">
        <v>170</v>
      </c>
      <c r="J77" s="32" t="s">
        <v>170</v>
      </c>
      <c r="K77" s="20" t="s">
        <v>170</v>
      </c>
      <c r="L77" s="20" t="s">
        <v>170</v>
      </c>
      <c r="M77" s="20" t="s">
        <v>170</v>
      </c>
      <c r="N77" s="20" t="s">
        <v>170</v>
      </c>
      <c r="O77" s="20" t="s">
        <v>170</v>
      </c>
    </row>
    <row r="78" s="20" customFormat="1" spans="1:15">
      <c r="A78" s="22">
        <v>78</v>
      </c>
      <c r="B78" s="28" t="s">
        <v>170</v>
      </c>
      <c r="C78" s="38">
        <v>2403</v>
      </c>
      <c r="D78" s="39">
        <v>1045</v>
      </c>
      <c r="E78" s="33">
        <v>21000003</v>
      </c>
      <c r="F78" s="28" t="s">
        <v>522</v>
      </c>
      <c r="G78" s="22" t="s">
        <v>280</v>
      </c>
      <c r="I78" s="32"/>
      <c r="J78" s="32"/>
    </row>
    <row r="79" s="20" customFormat="1" spans="1:15">
      <c r="A79" s="22">
        <v>79</v>
      </c>
      <c r="B79" s="28" t="s">
        <v>176</v>
      </c>
      <c r="C79" s="38">
        <v>2504</v>
      </c>
      <c r="D79" s="39">
        <v>1050</v>
      </c>
      <c r="E79" s="33">
        <v>21000007</v>
      </c>
      <c r="F79" s="28" t="s">
        <v>523</v>
      </c>
      <c r="G79" s="22" t="s">
        <v>280</v>
      </c>
      <c r="I79" s="31"/>
      <c r="J79" s="31"/>
      <c r="M79" s="20" t="s">
        <v>176</v>
      </c>
      <c r="N79" s="20" t="s">
        <v>176</v>
      </c>
    </row>
    <row r="80" s="20" customFormat="1" spans="1:15">
      <c r="A80" s="22">
        <v>80</v>
      </c>
      <c r="B80" s="23" t="s">
        <v>303</v>
      </c>
      <c r="C80" s="21">
        <v>2825</v>
      </c>
      <c r="D80" s="39">
        <v>1085</v>
      </c>
      <c r="E80" s="23">
        <v>32000025</v>
      </c>
      <c r="F80" s="44" t="s">
        <v>281</v>
      </c>
      <c r="G80" s="22" t="s">
        <v>280</v>
      </c>
      <c r="H80" s="32"/>
      <c r="O80" s="20" t="s">
        <v>303</v>
      </c>
    </row>
    <row r="81" s="20" customFormat="1" spans="1:15">
      <c r="A81" s="22">
        <v>81</v>
      </c>
      <c r="B81" s="28" t="s">
        <v>160</v>
      </c>
      <c r="C81" s="38">
        <v>2201</v>
      </c>
      <c r="D81" s="39">
        <v>1040</v>
      </c>
      <c r="E81" s="33">
        <v>20000001</v>
      </c>
      <c r="F81" s="28" t="s">
        <v>161</v>
      </c>
      <c r="G81" s="36" t="s">
        <v>162</v>
      </c>
      <c r="H81" s="20" t="s">
        <v>160</v>
      </c>
      <c r="I81" s="32" t="s">
        <v>160</v>
      </c>
      <c r="J81" s="32" t="s">
        <v>160</v>
      </c>
      <c r="K81" s="20" t="s">
        <v>160</v>
      </c>
      <c r="O81" s="20" t="s">
        <v>160</v>
      </c>
    </row>
    <row r="82" s="20" customFormat="1" spans="1:15">
      <c r="A82" s="22">
        <v>82</v>
      </c>
      <c r="B82" s="28" t="s">
        <v>160</v>
      </c>
      <c r="C82" s="38">
        <v>2202</v>
      </c>
      <c r="D82" s="39">
        <v>1040</v>
      </c>
      <c r="E82" s="33">
        <v>20000002</v>
      </c>
      <c r="F82" s="45" t="s">
        <v>163</v>
      </c>
      <c r="G82" s="36" t="s">
        <v>162</v>
      </c>
      <c r="I82" s="32"/>
      <c r="J82" s="32"/>
    </row>
    <row r="83" s="20" customFormat="1" spans="1:15">
      <c r="A83" s="22"/>
      <c r="B83" s="28" t="s">
        <v>160</v>
      </c>
      <c r="C83" s="38">
        <v>2203</v>
      </c>
      <c r="D83" s="39">
        <v>1040</v>
      </c>
      <c r="E83" s="33"/>
      <c r="F83" s="45" t="s">
        <v>164</v>
      </c>
      <c r="G83" s="22"/>
      <c r="H83" s="32"/>
      <c r="I83" s="32"/>
      <c r="J83" s="32"/>
    </row>
    <row r="84" s="20" customFormat="1" spans="1:15">
      <c r="A84" s="22"/>
      <c r="B84" s="28" t="s">
        <v>160</v>
      </c>
      <c r="C84" s="38">
        <v>2204</v>
      </c>
      <c r="D84" s="39">
        <v>1040</v>
      </c>
      <c r="E84" s="33"/>
      <c r="F84" s="45" t="s">
        <v>165</v>
      </c>
      <c r="G84" s="22"/>
      <c r="H84" s="32"/>
      <c r="I84" s="32"/>
      <c r="J84" s="32"/>
    </row>
    <row r="85" s="20" customFormat="1" spans="1:15">
      <c r="A85" s="22"/>
      <c r="B85" s="28" t="s">
        <v>160</v>
      </c>
      <c r="C85" s="38">
        <v>2205</v>
      </c>
      <c r="D85" s="39">
        <v>1040</v>
      </c>
      <c r="E85" s="33"/>
      <c r="F85" s="45" t="s">
        <v>166</v>
      </c>
      <c r="G85" s="22"/>
      <c r="H85" s="32"/>
      <c r="I85" s="32"/>
      <c r="J85" s="32"/>
    </row>
    <row r="86" s="20" customFormat="1" spans="1:15">
      <c r="A86" s="22">
        <v>83</v>
      </c>
      <c r="B86" s="28" t="s">
        <v>167</v>
      </c>
      <c r="C86" s="38">
        <v>2301</v>
      </c>
      <c r="D86" s="39">
        <v>1040</v>
      </c>
      <c r="E86" s="33">
        <v>20000006</v>
      </c>
      <c r="F86" s="28" t="s">
        <v>168</v>
      </c>
      <c r="G86" s="22" t="s">
        <v>280</v>
      </c>
      <c r="H86" s="32" t="s">
        <v>167</v>
      </c>
      <c r="I86" s="32" t="s">
        <v>167</v>
      </c>
      <c r="J86" s="32" t="s">
        <v>167</v>
      </c>
      <c r="K86" s="20" t="s">
        <v>167</v>
      </c>
      <c r="O86" s="20" t="s">
        <v>167</v>
      </c>
    </row>
    <row r="87" s="20" customFormat="1" spans="1:15">
      <c r="A87" s="22">
        <v>84</v>
      </c>
      <c r="B87" s="28" t="s">
        <v>167</v>
      </c>
      <c r="C87" s="38">
        <v>2302</v>
      </c>
      <c r="D87" s="39">
        <v>1040</v>
      </c>
      <c r="E87" s="33">
        <v>20000009</v>
      </c>
      <c r="F87" s="28" t="s">
        <v>524</v>
      </c>
      <c r="G87" s="22" t="s">
        <v>280</v>
      </c>
      <c r="H87" s="32"/>
      <c r="I87" s="32"/>
      <c r="J87" s="32"/>
    </row>
    <row r="88" s="20" customFormat="1" spans="1:15">
      <c r="A88" s="22">
        <v>85</v>
      </c>
      <c r="B88" s="28" t="s">
        <v>264</v>
      </c>
      <c r="C88" s="38">
        <v>3302</v>
      </c>
      <c r="D88" s="39">
        <v>1068</v>
      </c>
      <c r="E88" s="33">
        <v>27000002</v>
      </c>
      <c r="F88" s="30" t="s">
        <v>267</v>
      </c>
      <c r="G88" s="22" t="s">
        <v>280</v>
      </c>
    </row>
    <row r="89" s="20" customFormat="1" spans="1:15">
      <c r="A89" s="22">
        <v>86</v>
      </c>
      <c r="B89" s="23" t="s">
        <v>304</v>
      </c>
      <c r="C89" s="21">
        <v>3001</v>
      </c>
      <c r="D89" s="39">
        <v>1090</v>
      </c>
      <c r="E89" s="23">
        <v>33000001</v>
      </c>
      <c r="F89" s="23" t="s">
        <v>302</v>
      </c>
      <c r="G89" s="22" t="s">
        <v>280</v>
      </c>
      <c r="H89" s="32" t="s">
        <v>304</v>
      </c>
      <c r="I89" s="20" t="s">
        <v>304</v>
      </c>
      <c r="J89" s="20" t="s">
        <v>304</v>
      </c>
      <c r="K89" s="20" t="s">
        <v>304</v>
      </c>
      <c r="L89" s="20" t="s">
        <v>304</v>
      </c>
      <c r="M89" s="20" t="s">
        <v>304</v>
      </c>
      <c r="N89" s="20" t="s">
        <v>304</v>
      </c>
      <c r="O89" s="20" t="s">
        <v>304</v>
      </c>
    </row>
    <row r="90" spans="1:15">
      <c r="I90" s="20" t="s">
        <v>525</v>
      </c>
      <c r="J90" s="20" t="s">
        <v>526</v>
      </c>
      <c r="K90" s="20" t="s">
        <v>527</v>
      </c>
      <c r="L90" s="20" t="s">
        <v>528</v>
      </c>
      <c r="M90" s="20" t="s">
        <v>529</v>
      </c>
      <c r="O90" s="20" t="s">
        <v>530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F1:F89" etc:filterBottomFollowUsedRange="0">
    <extLst/>
  </autoFilter>
  <dataValidations count="1">
    <dataValidation type="textLength" operator="lessThanOrEqual" allowBlank="1" showInputMessage="1" showErrorMessage="1" errorTitle="提示" error="此处最多只能输入 20 个字符。" sqref="F23:F24 G48:G50 F46:G47">
      <formula1>20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8"/>
  <sheetViews>
    <sheetView workbookViewId="0">
      <selection activeCell="I109" sqref="I109"/>
    </sheetView>
  </sheetViews>
  <sheetFormatPr defaultColWidth="7.40833333333333" defaultRowHeight="12.75" customHeight="1"/>
  <cols>
    <col min="1" max="1" width="26" style="1" customWidth="1"/>
    <col min="2" max="2" width="27.6666666666667" style="1" customWidth="1"/>
    <col min="3" max="3" width="7.5" style="1" customWidth="1"/>
    <col min="4" max="8" width="8.425" style="1" customWidth="1"/>
    <col min="9" max="9" width="9.63333333333333" style="1" customWidth="1"/>
    <col min="10" max="15" width="8.425" style="1" customWidth="1"/>
    <col min="16" max="16" width="10.925" style="1" customWidth="1"/>
    <col min="17" max="17" width="8.425" style="1" customWidth="1"/>
    <col min="18" max="16384" width="7.40833333333333" style="1"/>
  </cols>
  <sheetData>
    <row r="1" s="1" customFormat="1" ht="33" customHeight="1" spans="1:17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="1" customFormat="1" ht="25.5" customHeight="1" spans="1:17">
      <c r="A2" s="3" t="s">
        <v>313</v>
      </c>
      <c r="B2" s="3" t="s">
        <v>531</v>
      </c>
      <c r="C2" s="3" t="s">
        <v>307</v>
      </c>
      <c r="D2" s="4" t="s">
        <v>315</v>
      </c>
      <c r="E2" s="4" t="s">
        <v>316</v>
      </c>
      <c r="F2" s="4" t="s">
        <v>317</v>
      </c>
      <c r="G2" s="4" t="s">
        <v>318</v>
      </c>
      <c r="H2" s="4" t="s">
        <v>319</v>
      </c>
      <c r="I2" s="4" t="s">
        <v>320</v>
      </c>
      <c r="J2" s="4" t="s">
        <v>321</v>
      </c>
      <c r="K2" s="4" t="s">
        <v>322</v>
      </c>
      <c r="L2" s="4" t="s">
        <v>323</v>
      </c>
      <c r="M2" s="4" t="s">
        <v>324</v>
      </c>
      <c r="N2" s="4" t="s">
        <v>325</v>
      </c>
      <c r="O2" s="4" t="s">
        <v>326</v>
      </c>
      <c r="P2" s="4" t="s">
        <v>327</v>
      </c>
      <c r="Q2" s="4" t="s">
        <v>328</v>
      </c>
    </row>
    <row r="3" s="1" customFormat="1" ht="25.5" customHeight="1" spans="1:17">
      <c r="A3" s="5"/>
      <c r="B3" s="5"/>
      <c r="C3" s="5"/>
      <c r="D3" s="6">
        <v>31</v>
      </c>
      <c r="E3" s="6">
        <v>28</v>
      </c>
      <c r="F3" s="6">
        <v>31</v>
      </c>
      <c r="G3" s="6">
        <v>30</v>
      </c>
      <c r="H3" s="6">
        <v>31</v>
      </c>
      <c r="I3" s="6">
        <v>30</v>
      </c>
      <c r="J3" s="6">
        <v>31</v>
      </c>
      <c r="K3" s="6">
        <v>31</v>
      </c>
      <c r="L3" s="6">
        <v>30</v>
      </c>
      <c r="M3" s="6">
        <v>31</v>
      </c>
      <c r="N3" s="6">
        <v>30</v>
      </c>
      <c r="O3" s="6">
        <v>31</v>
      </c>
      <c r="P3" s="7" t="s">
        <v>330</v>
      </c>
      <c r="Q3" s="8" t="s">
        <v>330</v>
      </c>
    </row>
    <row r="4" s="1" customFormat="1" ht="25.5" customHeight="1" spans="1:17">
      <c r="A4" s="9" t="s">
        <v>9</v>
      </c>
      <c r="B4" s="10" t="s">
        <v>345</v>
      </c>
      <c r="C4" s="10" t="s">
        <v>82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="1" customFormat="1" ht="25.5" customHeight="1" spans="1:17">
      <c r="A5" s="9"/>
      <c r="B5" s="10" t="s">
        <v>347</v>
      </c>
      <c r="C5" s="10" t="s">
        <v>82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="1" customFormat="1" ht="25.5" customHeight="1" spans="1:17">
      <c r="A6" s="9"/>
      <c r="B6" s="10" t="s">
        <v>348</v>
      </c>
      <c r="C6" s="10" t="s">
        <v>82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s="1" customFormat="1" ht="25.5" customHeight="1" spans="1:17">
      <c r="A7" s="9"/>
      <c r="B7" s="10" t="s">
        <v>532</v>
      </c>
      <c r="C7" s="10" t="s">
        <v>82</v>
      </c>
      <c r="D7" s="11"/>
      <c r="E7" s="11"/>
      <c r="F7" s="11"/>
      <c r="G7" s="11"/>
      <c r="H7" s="11"/>
      <c r="I7" s="11"/>
      <c r="J7" s="11"/>
      <c r="K7" s="12"/>
      <c r="L7" s="12"/>
      <c r="M7" s="12"/>
      <c r="N7" s="12"/>
      <c r="O7" s="12"/>
      <c r="P7" s="11"/>
      <c r="Q7" s="12"/>
    </row>
    <row r="8" s="1" customFormat="1" ht="25.5" customHeight="1" spans="1:17">
      <c r="A8" s="9"/>
      <c r="B8" s="10" t="s">
        <v>24</v>
      </c>
      <c r="C8" s="10" t="s">
        <v>82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</row>
    <row r="9" s="1" customFormat="1" ht="25.5" customHeight="1" spans="1:17">
      <c r="A9" s="9" t="s">
        <v>25</v>
      </c>
      <c r="B9" s="10" t="s">
        <v>520</v>
      </c>
      <c r="C9" s="10" t="s">
        <v>280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</row>
    <row r="10" s="1" customFormat="1" ht="25.5" customHeight="1" spans="1:17">
      <c r="A10" s="9" t="s">
        <v>70</v>
      </c>
      <c r="B10" s="10" t="s">
        <v>71</v>
      </c>
      <c r="C10" s="10" t="s">
        <v>280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s="1" customFormat="1" ht="25.5" customHeight="1" spans="1:17">
      <c r="A11" s="9"/>
      <c r="B11" s="10" t="s">
        <v>75</v>
      </c>
      <c r="C11" s="10" t="s">
        <v>280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s="1" customFormat="1" ht="25.5" customHeight="1" spans="1:17">
      <c r="A12" s="9"/>
      <c r="B12" s="10" t="s">
        <v>48</v>
      </c>
      <c r="C12" s="10" t="s">
        <v>280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s="1" customFormat="1" ht="25.5" customHeight="1" spans="1:17">
      <c r="A13" s="9"/>
      <c r="B13" s="10" t="s">
        <v>515</v>
      </c>
      <c r="C13" s="10" t="s">
        <v>280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s="1" customFormat="1" ht="25.5" customHeight="1" spans="1:17">
      <c r="A14" s="9"/>
      <c r="B14" s="10" t="s">
        <v>516</v>
      </c>
      <c r="C14" s="10" t="s">
        <v>280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s="1" customFormat="1" ht="25.5" customHeight="1" spans="1:17">
      <c r="A15" s="9"/>
      <c r="B15" s="10" t="s">
        <v>517</v>
      </c>
      <c r="C15" s="10" t="s">
        <v>280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s="1" customFormat="1" ht="25.5" customHeight="1" spans="1:17">
      <c r="A16" s="9" t="s">
        <v>279</v>
      </c>
      <c r="B16" s="10" t="s">
        <v>120</v>
      </c>
      <c r="C16" s="10" t="s">
        <v>280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 s="1" customFormat="1" ht="25.5" customHeight="1" spans="1:17">
      <c r="A17" s="9"/>
      <c r="B17" s="10" t="s">
        <v>122</v>
      </c>
      <c r="C17" s="10" t="s">
        <v>282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s="1" customFormat="1" ht="25.5" customHeight="1" spans="1:17">
      <c r="A18" s="9"/>
      <c r="B18" s="10" t="s">
        <v>124</v>
      </c>
      <c r="C18" s="10" t="s">
        <v>280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s="1" customFormat="1" ht="25.5" customHeight="1" spans="1:17">
      <c r="A19" s="9"/>
      <c r="B19" s="10" t="s">
        <v>126</v>
      </c>
      <c r="C19" s="10" t="s">
        <v>280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</row>
    <row r="20" s="1" customFormat="1" ht="25.5" customHeight="1" spans="1:17">
      <c r="A20" s="9"/>
      <c r="B20" s="10" t="s">
        <v>533</v>
      </c>
      <c r="C20" s="10" t="s">
        <v>280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</row>
    <row r="21" s="1" customFormat="1" ht="25.5" customHeight="1" spans="1:17">
      <c r="A21" s="9" t="s">
        <v>152</v>
      </c>
      <c r="B21" s="10" t="s">
        <v>159</v>
      </c>
      <c r="C21" s="10" t="s">
        <v>280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</row>
    <row r="22" s="1" customFormat="1" ht="25.5" customHeight="1" spans="1:17">
      <c r="A22" s="9"/>
      <c r="B22" s="10" t="s">
        <v>153</v>
      </c>
      <c r="C22" s="10" t="s">
        <v>280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s="1" customFormat="1" ht="25.5" customHeight="1" spans="1:17">
      <c r="A23" s="9" t="s">
        <v>290</v>
      </c>
      <c r="B23" s="10" t="s">
        <v>291</v>
      </c>
      <c r="C23" s="10" t="s">
        <v>280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s="1" customFormat="1" ht="25.5" customHeight="1" spans="1:17">
      <c r="A24" s="9"/>
      <c r="B24" s="10" t="s">
        <v>292</v>
      </c>
      <c r="C24" s="10" t="s">
        <v>280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</row>
    <row r="25" s="1" customFormat="1" ht="25.5" customHeight="1" spans="1:17">
      <c r="A25" s="9"/>
      <c r="B25" s="10" t="s">
        <v>293</v>
      </c>
      <c r="C25" s="10" t="s">
        <v>280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</row>
    <row r="26" s="1" customFormat="1" ht="25.5" customHeight="1" spans="1:17">
      <c r="A26" s="9"/>
      <c r="B26" s="10" t="s">
        <v>294</v>
      </c>
      <c r="C26" s="10" t="s">
        <v>280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</row>
    <row r="27" s="1" customFormat="1" ht="25.5" customHeight="1" spans="1:17">
      <c r="A27" s="9"/>
      <c r="B27" s="10" t="s">
        <v>295</v>
      </c>
      <c r="C27" s="10" t="s">
        <v>280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</row>
    <row r="28" s="1" customFormat="1" ht="25.5" customHeight="1" spans="1:17">
      <c r="A28" s="9"/>
      <c r="B28" s="10" t="s">
        <v>296</v>
      </c>
      <c r="C28" s="10" t="s">
        <v>280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</row>
    <row r="29" s="1" customFormat="1" ht="25.5" customHeight="1" spans="1:17">
      <c r="A29" s="9"/>
      <c r="B29" s="10" t="s">
        <v>297</v>
      </c>
      <c r="C29" s="10" t="s">
        <v>280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</row>
    <row r="30" s="1" customFormat="1" ht="25.5" customHeight="1" spans="1:17">
      <c r="A30" s="9"/>
      <c r="B30" s="10" t="s">
        <v>298</v>
      </c>
      <c r="C30" s="10" t="s">
        <v>280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</row>
    <row r="31" s="1" customFormat="1" ht="25.5" customHeight="1" spans="1:17">
      <c r="A31" s="9"/>
      <c r="B31" s="10" t="s">
        <v>299</v>
      </c>
      <c r="C31" s="10" t="s">
        <v>280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</row>
    <row r="32" s="1" customFormat="1" ht="25.5" customHeight="1" spans="1:17">
      <c r="A32" s="9"/>
      <c r="B32" s="10" t="s">
        <v>300</v>
      </c>
      <c r="C32" s="10" t="s">
        <v>280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</row>
    <row r="33" s="1" customFormat="1" ht="25.5" customHeight="1" spans="1:17">
      <c r="A33" s="9" t="s">
        <v>160</v>
      </c>
      <c r="B33" s="10" t="s">
        <v>161</v>
      </c>
      <c r="C33" s="10" t="s">
        <v>162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</row>
    <row r="34" s="1" customFormat="1" ht="25.5" customHeight="1" spans="1:17">
      <c r="A34" s="9"/>
      <c r="B34" s="10" t="s">
        <v>534</v>
      </c>
      <c r="C34" s="10" t="s">
        <v>162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</row>
    <row r="35" s="1" customFormat="1" ht="25.5" customHeight="1" spans="1:17">
      <c r="A35" s="9"/>
      <c r="B35" s="10" t="s">
        <v>168</v>
      </c>
      <c r="C35" s="10" t="s">
        <v>280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 s="1" customFormat="1" ht="25.5" customHeight="1" spans="1:17">
      <c r="A36" s="9"/>
      <c r="B36" s="10" t="s">
        <v>524</v>
      </c>
      <c r="C36" s="10" t="s">
        <v>280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</row>
    <row r="37" s="1" customFormat="1" ht="25.5" customHeight="1" spans="1:17">
      <c r="A37" s="9" t="s">
        <v>170</v>
      </c>
      <c r="B37" s="10" t="s">
        <v>521</v>
      </c>
      <c r="C37" s="10" t="s">
        <v>280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</row>
    <row r="38" s="1" customFormat="1" ht="25.5" customHeight="1" spans="1:17">
      <c r="A38" s="9"/>
      <c r="B38" s="10" t="s">
        <v>522</v>
      </c>
      <c r="C38" s="10" t="s">
        <v>280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</row>
    <row r="39" s="1" customFormat="1" ht="25.5" customHeight="1" spans="1:17">
      <c r="A39" s="9" t="s">
        <v>176</v>
      </c>
      <c r="B39" s="10" t="s">
        <v>535</v>
      </c>
      <c r="C39" s="10" t="s">
        <v>280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</row>
    <row r="40" s="1" customFormat="1" ht="25.5" customHeight="1" spans="1:17">
      <c r="A40" s="9" t="s">
        <v>301</v>
      </c>
      <c r="B40" s="10" t="s">
        <v>72</v>
      </c>
      <c r="C40" s="10" t="s">
        <v>280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</row>
    <row r="41" s="1" customFormat="1" ht="25.5" customHeight="1" spans="1:17">
      <c r="A41" s="9"/>
      <c r="B41" s="10" t="s">
        <v>74</v>
      </c>
      <c r="C41" s="10" t="s">
        <v>280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s="1" customFormat="1" ht="25.5" customHeight="1" spans="1:17">
      <c r="A42" s="9"/>
      <c r="B42" s="10" t="s">
        <v>76</v>
      </c>
      <c r="C42" s="10" t="s">
        <v>280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s="1" customFormat="1" ht="25.5" customHeight="1" spans="1:17">
      <c r="A43" s="9"/>
      <c r="B43" s="10" t="s">
        <v>78</v>
      </c>
      <c r="C43" s="10" t="s">
        <v>280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s="1" customFormat="1" ht="25.5" customHeight="1" spans="1:17">
      <c r="A44" s="9"/>
      <c r="B44" s="10" t="s">
        <v>80</v>
      </c>
      <c r="C44" s="10" t="s">
        <v>280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s="1" customFormat="1" ht="25.5" customHeight="1" spans="1:17">
      <c r="A45" s="9"/>
      <c r="B45" s="10" t="s">
        <v>83</v>
      </c>
      <c r="C45" s="10" t="s">
        <v>280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s="1" customFormat="1" ht="25.5" customHeight="1" spans="1:17">
      <c r="A46" s="9"/>
      <c r="B46" s="10" t="s">
        <v>85</v>
      </c>
      <c r="C46" s="10" t="s">
        <v>280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s="1" customFormat="1" ht="25.5" customHeight="1" spans="1:17">
      <c r="A47" s="9"/>
      <c r="B47" s="10" t="s">
        <v>87</v>
      </c>
      <c r="C47" s="10" t="s">
        <v>280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s="1" customFormat="1" ht="25.5" customHeight="1" spans="1:17">
      <c r="A48" s="9"/>
      <c r="B48" s="10" t="s">
        <v>89</v>
      </c>
      <c r="C48" s="10" t="s">
        <v>280</v>
      </c>
      <c r="D48" s="11"/>
      <c r="E48" s="11"/>
      <c r="F48" s="11"/>
      <c r="G48" s="11"/>
      <c r="H48" s="11"/>
      <c r="I48" s="11"/>
      <c r="J48" s="11"/>
      <c r="K48" s="12"/>
      <c r="L48" s="12"/>
      <c r="M48" s="12"/>
      <c r="N48" s="12"/>
      <c r="O48" s="12"/>
      <c r="P48" s="11"/>
      <c r="Q48" s="12"/>
    </row>
    <row r="49" s="1" customFormat="1" ht="25.5" customHeight="1" spans="1:17">
      <c r="A49" s="9"/>
      <c r="B49" s="10" t="s">
        <v>91</v>
      </c>
      <c r="C49" s="10" t="s">
        <v>280</v>
      </c>
      <c r="D49" s="11"/>
      <c r="E49" s="11"/>
      <c r="F49" s="11"/>
      <c r="G49" s="11"/>
      <c r="H49" s="11"/>
      <c r="I49" s="11"/>
      <c r="J49" s="11"/>
      <c r="K49" s="12"/>
      <c r="L49" s="12"/>
      <c r="M49" s="12"/>
      <c r="N49" s="12"/>
      <c r="O49" s="12"/>
      <c r="P49" s="11"/>
      <c r="Q49" s="12"/>
    </row>
    <row r="50" s="1" customFormat="1" ht="25.5" customHeight="1" spans="1:17">
      <c r="A50" s="9"/>
      <c r="B50" s="10" t="s">
        <v>93</v>
      </c>
      <c r="C50" s="10" t="s">
        <v>280</v>
      </c>
      <c r="D50" s="11"/>
      <c r="E50" s="11"/>
      <c r="F50" s="11"/>
      <c r="G50" s="11"/>
      <c r="H50" s="11"/>
      <c r="I50" s="11"/>
      <c r="J50" s="11"/>
      <c r="K50" s="12"/>
      <c r="L50" s="12"/>
      <c r="M50" s="12"/>
      <c r="N50" s="12"/>
      <c r="O50" s="12"/>
      <c r="P50" s="11"/>
      <c r="Q50" s="12"/>
    </row>
    <row r="51" s="1" customFormat="1" ht="25.5" customHeight="1" spans="1:17">
      <c r="A51" s="9"/>
      <c r="B51" s="10" t="s">
        <v>95</v>
      </c>
      <c r="C51" s="10" t="s">
        <v>280</v>
      </c>
      <c r="D51" s="11"/>
      <c r="E51" s="11"/>
      <c r="F51" s="11"/>
      <c r="G51" s="11"/>
      <c r="H51" s="11"/>
      <c r="I51" s="11"/>
      <c r="J51" s="11"/>
      <c r="K51" s="12"/>
      <c r="L51" s="12"/>
      <c r="M51" s="12"/>
      <c r="N51" s="12"/>
      <c r="O51" s="12"/>
      <c r="P51" s="11"/>
      <c r="Q51" s="12"/>
    </row>
    <row r="52" s="1" customFormat="1" ht="25.5" customHeight="1" spans="1:17">
      <c r="A52" s="9"/>
      <c r="B52" s="10" t="s">
        <v>99</v>
      </c>
      <c r="C52" s="10" t="s">
        <v>280</v>
      </c>
      <c r="D52" s="11"/>
      <c r="E52" s="11"/>
      <c r="F52" s="11"/>
      <c r="G52" s="11"/>
      <c r="H52" s="11"/>
      <c r="I52" s="11"/>
      <c r="J52" s="11"/>
      <c r="K52" s="12"/>
      <c r="L52" s="12"/>
      <c r="M52" s="12"/>
      <c r="N52" s="12"/>
      <c r="O52" s="12"/>
      <c r="P52" s="11"/>
      <c r="Q52" s="12"/>
    </row>
    <row r="53" s="1" customFormat="1" ht="25.5" customHeight="1" spans="1:17">
      <c r="A53" s="9"/>
      <c r="B53" s="10" t="s">
        <v>101</v>
      </c>
      <c r="C53" s="10" t="s">
        <v>280</v>
      </c>
      <c r="D53" s="11"/>
      <c r="E53" s="11"/>
      <c r="F53" s="11"/>
      <c r="G53" s="11"/>
      <c r="H53" s="11"/>
      <c r="I53" s="11"/>
      <c r="J53" s="11"/>
      <c r="K53" s="12"/>
      <c r="L53" s="12"/>
      <c r="M53" s="12"/>
      <c r="N53" s="12"/>
      <c r="O53" s="12"/>
      <c r="P53" s="11"/>
      <c r="Q53" s="12"/>
    </row>
    <row r="54" s="1" customFormat="1" ht="25.5" customHeight="1" spans="1:17">
      <c r="A54" s="9"/>
      <c r="B54" s="10" t="s">
        <v>103</v>
      </c>
      <c r="C54" s="10" t="s">
        <v>280</v>
      </c>
      <c r="D54" s="11"/>
      <c r="E54" s="11"/>
      <c r="F54" s="11"/>
      <c r="G54" s="11"/>
      <c r="H54" s="11"/>
      <c r="I54" s="11"/>
      <c r="J54" s="11"/>
      <c r="K54" s="12"/>
      <c r="L54" s="12"/>
      <c r="M54" s="12"/>
      <c r="N54" s="12"/>
      <c r="O54" s="12"/>
      <c r="P54" s="11"/>
      <c r="Q54" s="12"/>
    </row>
    <row r="55" s="1" customFormat="1" ht="25.5" customHeight="1" spans="1:17">
      <c r="A55" s="9"/>
      <c r="B55" s="10" t="s">
        <v>105</v>
      </c>
      <c r="C55" s="10" t="s">
        <v>280</v>
      </c>
      <c r="D55" s="11"/>
      <c r="E55" s="11"/>
      <c r="F55" s="11"/>
      <c r="G55" s="11"/>
      <c r="H55" s="11"/>
      <c r="I55" s="11"/>
      <c r="J55" s="11"/>
      <c r="K55" s="12"/>
      <c r="L55" s="12"/>
      <c r="M55" s="12"/>
      <c r="N55" s="12"/>
      <c r="O55" s="12"/>
      <c r="P55" s="11"/>
      <c r="Q55" s="12"/>
    </row>
    <row r="56" s="1" customFormat="1" ht="25.5" customHeight="1" spans="1:17">
      <c r="A56" s="9" t="s">
        <v>283</v>
      </c>
      <c r="B56" s="10" t="s">
        <v>284</v>
      </c>
      <c r="C56" s="10" t="s">
        <v>280</v>
      </c>
      <c r="D56" s="11"/>
      <c r="E56" s="11"/>
      <c r="F56" s="11"/>
      <c r="G56" s="11"/>
      <c r="H56" s="11"/>
      <c r="I56" s="11"/>
      <c r="J56" s="11"/>
      <c r="K56" s="12"/>
      <c r="L56" s="12"/>
      <c r="M56" s="12"/>
      <c r="N56" s="12"/>
      <c r="O56" s="12"/>
      <c r="P56" s="11"/>
      <c r="Q56" s="12"/>
    </row>
    <row r="57" s="1" customFormat="1" ht="25.5" customHeight="1" spans="1:17">
      <c r="A57" s="9"/>
      <c r="B57" s="10" t="s">
        <v>285</v>
      </c>
      <c r="C57" s="10" t="s">
        <v>280</v>
      </c>
      <c r="D57" s="11"/>
      <c r="E57" s="11"/>
      <c r="F57" s="11"/>
      <c r="G57" s="11"/>
      <c r="H57" s="11"/>
      <c r="I57" s="11"/>
      <c r="J57" s="11"/>
      <c r="K57" s="12"/>
      <c r="L57" s="12"/>
      <c r="M57" s="12"/>
      <c r="N57" s="12"/>
      <c r="O57" s="12"/>
      <c r="P57" s="11"/>
      <c r="Q57" s="12"/>
    </row>
    <row r="58" s="1" customFormat="1" ht="25.5" customHeight="1" spans="1:17">
      <c r="A58" s="9"/>
      <c r="B58" s="10" t="s">
        <v>286</v>
      </c>
      <c r="C58" s="10" t="s">
        <v>280</v>
      </c>
      <c r="D58" s="11"/>
      <c r="E58" s="11"/>
      <c r="F58" s="11"/>
      <c r="G58" s="11"/>
      <c r="H58" s="11"/>
      <c r="I58" s="11"/>
      <c r="J58" s="11"/>
      <c r="K58" s="12"/>
      <c r="L58" s="12"/>
      <c r="M58" s="12"/>
      <c r="N58" s="12"/>
      <c r="O58" s="12"/>
      <c r="P58" s="11"/>
      <c r="Q58" s="12"/>
    </row>
    <row r="59" s="1" customFormat="1" ht="25.5" customHeight="1" spans="1:17">
      <c r="A59" s="9"/>
      <c r="B59" s="10" t="s">
        <v>287</v>
      </c>
      <c r="C59" s="10" t="s">
        <v>280</v>
      </c>
      <c r="D59" s="11"/>
      <c r="E59" s="11"/>
      <c r="F59" s="11"/>
      <c r="G59" s="11"/>
      <c r="H59" s="11"/>
      <c r="I59" s="11"/>
      <c r="J59" s="11"/>
      <c r="K59" s="12"/>
      <c r="L59" s="12"/>
      <c r="M59" s="12"/>
      <c r="N59" s="12"/>
      <c r="O59" s="12"/>
      <c r="P59" s="11"/>
      <c r="Q59" s="12"/>
    </row>
    <row r="60" s="1" customFormat="1" ht="25.5" customHeight="1" spans="1:17">
      <c r="A60" s="9"/>
      <c r="B60" s="10" t="s">
        <v>288</v>
      </c>
      <c r="C60" s="10" t="s">
        <v>280</v>
      </c>
      <c r="D60" s="11"/>
      <c r="E60" s="11"/>
      <c r="F60" s="11"/>
      <c r="G60" s="11"/>
      <c r="H60" s="11"/>
      <c r="I60" s="11"/>
      <c r="J60" s="11"/>
      <c r="K60" s="12"/>
      <c r="L60" s="12"/>
      <c r="M60" s="12"/>
      <c r="N60" s="12"/>
      <c r="O60" s="12"/>
      <c r="P60" s="11"/>
      <c r="Q60" s="12"/>
    </row>
    <row r="61" s="1" customFormat="1" ht="25.5" customHeight="1" spans="1:17">
      <c r="A61" s="9"/>
      <c r="B61" s="10" t="s">
        <v>289</v>
      </c>
      <c r="C61" s="10" t="s">
        <v>280</v>
      </c>
      <c r="D61" s="11"/>
      <c r="E61" s="11"/>
      <c r="F61" s="11"/>
      <c r="G61" s="11"/>
      <c r="H61" s="11"/>
      <c r="I61" s="11"/>
      <c r="J61" s="11"/>
      <c r="K61" s="12"/>
      <c r="L61" s="12"/>
      <c r="M61" s="12"/>
      <c r="N61" s="12"/>
      <c r="O61" s="12"/>
      <c r="P61" s="11"/>
      <c r="Q61" s="12"/>
    </row>
    <row r="62" s="1" customFormat="1" ht="25.5" customHeight="1" spans="1:17">
      <c r="A62" s="9" t="s">
        <v>303</v>
      </c>
      <c r="B62" s="10" t="s">
        <v>228</v>
      </c>
      <c r="C62" s="10" t="s">
        <v>280</v>
      </c>
      <c r="D62" s="11"/>
      <c r="E62" s="11"/>
      <c r="F62" s="11"/>
      <c r="G62" s="11"/>
      <c r="H62" s="11"/>
      <c r="I62" s="11"/>
      <c r="J62" s="11"/>
      <c r="K62" s="12"/>
      <c r="L62" s="12"/>
      <c r="M62" s="12"/>
      <c r="N62" s="12"/>
      <c r="O62" s="12"/>
      <c r="P62" s="11"/>
      <c r="Q62" s="12"/>
    </row>
    <row r="63" s="1" customFormat="1" ht="25.5" customHeight="1" spans="1:17">
      <c r="A63" s="9"/>
      <c r="B63" s="10" t="s">
        <v>232</v>
      </c>
      <c r="C63" s="10" t="s">
        <v>162</v>
      </c>
      <c r="D63" s="11"/>
      <c r="E63" s="11"/>
      <c r="F63" s="11"/>
      <c r="G63" s="11"/>
      <c r="H63" s="11"/>
      <c r="I63" s="11"/>
      <c r="J63" s="11"/>
      <c r="K63" s="12"/>
      <c r="L63" s="12"/>
      <c r="M63" s="12"/>
      <c r="N63" s="12"/>
      <c r="O63" s="12"/>
      <c r="P63" s="11"/>
      <c r="Q63" s="12"/>
    </row>
    <row r="64" s="1" customFormat="1" ht="25.5" customHeight="1" spans="1:17">
      <c r="A64" s="9"/>
      <c r="B64" s="10" t="s">
        <v>234</v>
      </c>
      <c r="C64" s="10" t="s">
        <v>162</v>
      </c>
      <c r="D64" s="11"/>
      <c r="E64" s="11"/>
      <c r="F64" s="11"/>
      <c r="G64" s="11"/>
      <c r="H64" s="11"/>
      <c r="I64" s="11"/>
      <c r="J64" s="11"/>
      <c r="K64" s="12"/>
      <c r="L64" s="12"/>
      <c r="M64" s="12"/>
      <c r="N64" s="12"/>
      <c r="O64" s="12"/>
      <c r="P64" s="11"/>
      <c r="Q64" s="12"/>
    </row>
    <row r="65" s="1" customFormat="1" ht="25.5" customHeight="1" spans="1:17">
      <c r="A65" s="9"/>
      <c r="B65" s="10" t="s">
        <v>236</v>
      </c>
      <c r="C65" s="10" t="s">
        <v>280</v>
      </c>
      <c r="D65" s="11"/>
      <c r="E65" s="11"/>
      <c r="F65" s="11"/>
      <c r="G65" s="11"/>
      <c r="H65" s="11"/>
      <c r="I65" s="11"/>
      <c r="J65" s="11"/>
      <c r="K65" s="12"/>
      <c r="L65" s="12"/>
      <c r="M65" s="12"/>
      <c r="N65" s="12"/>
      <c r="O65" s="12"/>
      <c r="P65" s="11"/>
      <c r="Q65" s="12"/>
    </row>
    <row r="66" s="1" customFormat="1" ht="25.5" customHeight="1" spans="1:17">
      <c r="A66" s="9"/>
      <c r="B66" s="10" t="s">
        <v>238</v>
      </c>
      <c r="C66" s="10" t="s">
        <v>280</v>
      </c>
      <c r="D66" s="11"/>
      <c r="E66" s="11"/>
      <c r="F66" s="11"/>
      <c r="G66" s="11"/>
      <c r="H66" s="11"/>
      <c r="I66" s="11"/>
      <c r="J66" s="11"/>
      <c r="K66" s="12"/>
      <c r="L66" s="12"/>
      <c r="M66" s="12"/>
      <c r="N66" s="12"/>
      <c r="O66" s="12"/>
      <c r="P66" s="11"/>
      <c r="Q66" s="12"/>
    </row>
    <row r="67" s="1" customFormat="1" ht="25.5" customHeight="1" spans="1:17">
      <c r="A67" s="9"/>
      <c r="B67" s="10" t="s">
        <v>240</v>
      </c>
      <c r="C67" s="10" t="s">
        <v>280</v>
      </c>
      <c r="D67" s="11"/>
      <c r="E67" s="11"/>
      <c r="F67" s="11"/>
      <c r="G67" s="11"/>
      <c r="H67" s="11"/>
      <c r="I67" s="11"/>
      <c r="J67" s="11"/>
      <c r="K67" s="12"/>
      <c r="L67" s="12"/>
      <c r="M67" s="12"/>
      <c r="N67" s="12"/>
      <c r="O67" s="12"/>
      <c r="P67" s="11"/>
      <c r="Q67" s="12"/>
    </row>
    <row r="68" s="1" customFormat="1" ht="25.5" customHeight="1" spans="1:17">
      <c r="A68" s="9"/>
      <c r="B68" s="10" t="s">
        <v>242</v>
      </c>
      <c r="C68" s="10" t="s">
        <v>280</v>
      </c>
      <c r="D68" s="11"/>
      <c r="E68" s="11"/>
      <c r="F68" s="11"/>
      <c r="G68" s="11"/>
      <c r="H68" s="11"/>
      <c r="I68" s="11"/>
      <c r="J68" s="11"/>
      <c r="K68" s="12"/>
      <c r="L68" s="12"/>
      <c r="M68" s="12"/>
      <c r="N68" s="12"/>
      <c r="O68" s="12"/>
      <c r="P68" s="11"/>
      <c r="Q68" s="12"/>
    </row>
    <row r="69" s="1" customFormat="1" ht="25.5" customHeight="1" spans="1:17">
      <c r="A69" s="9"/>
      <c r="B69" s="10" t="s">
        <v>244</v>
      </c>
      <c r="C69" s="10" t="s">
        <v>280</v>
      </c>
      <c r="D69" s="11"/>
      <c r="E69" s="11"/>
      <c r="F69" s="11"/>
      <c r="G69" s="11"/>
      <c r="H69" s="11"/>
      <c r="I69" s="11"/>
      <c r="J69" s="11"/>
      <c r="K69" s="12"/>
      <c r="L69" s="12"/>
      <c r="M69" s="12"/>
      <c r="N69" s="12"/>
      <c r="O69" s="12"/>
      <c r="P69" s="11"/>
      <c r="Q69" s="12"/>
    </row>
    <row r="70" s="1" customFormat="1" ht="25.5" customHeight="1" spans="1:17">
      <c r="A70" s="9"/>
      <c r="B70" s="10" t="s">
        <v>246</v>
      </c>
      <c r="C70" s="10" t="s">
        <v>280</v>
      </c>
      <c r="D70" s="11"/>
      <c r="E70" s="11"/>
      <c r="F70" s="11"/>
      <c r="G70" s="11"/>
      <c r="H70" s="11"/>
      <c r="I70" s="11"/>
      <c r="J70" s="11"/>
      <c r="K70" s="12"/>
      <c r="L70" s="12"/>
      <c r="M70" s="12"/>
      <c r="N70" s="12"/>
      <c r="O70" s="12"/>
      <c r="P70" s="11"/>
      <c r="Q70" s="12"/>
    </row>
    <row r="71" s="1" customFormat="1" ht="25.5" customHeight="1" spans="1:17">
      <c r="A71" s="9"/>
      <c r="B71" s="10" t="s">
        <v>248</v>
      </c>
      <c r="C71" s="10" t="s">
        <v>280</v>
      </c>
      <c r="D71" s="11"/>
      <c r="E71" s="11"/>
      <c r="F71" s="11"/>
      <c r="G71" s="11"/>
      <c r="H71" s="11"/>
      <c r="I71" s="11"/>
      <c r="J71" s="11"/>
      <c r="K71" s="12"/>
      <c r="L71" s="12"/>
      <c r="M71" s="12"/>
      <c r="N71" s="12"/>
      <c r="O71" s="12"/>
      <c r="P71" s="11"/>
      <c r="Q71" s="12"/>
    </row>
    <row r="72" s="1" customFormat="1" ht="25.5" customHeight="1" spans="1:17">
      <c r="A72" s="9"/>
      <c r="B72" s="10" t="s">
        <v>251</v>
      </c>
      <c r="C72" s="10" t="s">
        <v>280</v>
      </c>
      <c r="D72" s="11"/>
      <c r="E72" s="11"/>
      <c r="F72" s="11"/>
      <c r="G72" s="11"/>
      <c r="H72" s="11"/>
      <c r="I72" s="11"/>
      <c r="J72" s="11"/>
      <c r="K72" s="12"/>
      <c r="L72" s="12"/>
      <c r="M72" s="12"/>
      <c r="N72" s="12"/>
      <c r="O72" s="12"/>
      <c r="P72" s="11"/>
      <c r="Q72" s="12"/>
    </row>
    <row r="73" s="1" customFormat="1" ht="25.5" customHeight="1" spans="1:17">
      <c r="A73" s="9"/>
      <c r="B73" s="10" t="s">
        <v>253</v>
      </c>
      <c r="C73" s="10" t="s">
        <v>280</v>
      </c>
      <c r="D73" s="11"/>
      <c r="E73" s="11"/>
      <c r="F73" s="11"/>
      <c r="G73" s="11"/>
      <c r="H73" s="11"/>
      <c r="I73" s="11"/>
      <c r="J73" s="11"/>
      <c r="K73" s="12"/>
      <c r="L73" s="12"/>
      <c r="M73" s="12"/>
      <c r="N73" s="12"/>
      <c r="O73" s="12"/>
      <c r="P73" s="11"/>
      <c r="Q73" s="12"/>
    </row>
    <row r="74" s="1" customFormat="1" ht="25.5" customHeight="1" spans="1:17">
      <c r="A74" s="9"/>
      <c r="B74" s="10" t="s">
        <v>255</v>
      </c>
      <c r="C74" s="10" t="s">
        <v>280</v>
      </c>
      <c r="D74" s="11"/>
      <c r="E74" s="11"/>
      <c r="F74" s="11"/>
      <c r="G74" s="11"/>
      <c r="H74" s="11"/>
      <c r="I74" s="11"/>
      <c r="J74" s="11"/>
      <c r="K74" s="12"/>
      <c r="L74" s="12"/>
      <c r="M74" s="12"/>
      <c r="N74" s="12"/>
      <c r="O74" s="12"/>
      <c r="P74" s="11"/>
      <c r="Q74" s="12"/>
    </row>
    <row r="75" s="1" customFormat="1" ht="25.5" customHeight="1" spans="1:17">
      <c r="A75" s="9"/>
      <c r="B75" s="10" t="s">
        <v>257</v>
      </c>
      <c r="C75" s="10" t="s">
        <v>280</v>
      </c>
      <c r="D75" s="11"/>
      <c r="E75" s="11"/>
      <c r="F75" s="11"/>
      <c r="G75" s="11"/>
      <c r="H75" s="11"/>
      <c r="I75" s="11"/>
      <c r="J75" s="11"/>
      <c r="K75" s="12"/>
      <c r="L75" s="12"/>
      <c r="M75" s="12"/>
      <c r="N75" s="12"/>
      <c r="O75" s="12"/>
      <c r="P75" s="11"/>
      <c r="Q75" s="12"/>
    </row>
    <row r="76" s="1" customFormat="1" ht="25.5" customHeight="1" spans="1:17">
      <c r="A76" s="9"/>
      <c r="B76" s="10" t="s">
        <v>259</v>
      </c>
      <c r="C76" s="10" t="s">
        <v>280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s="1" customFormat="1" ht="25.5" customHeight="1" spans="1:17">
      <c r="A77" s="9"/>
      <c r="B77" s="10" t="s">
        <v>261</v>
      </c>
      <c r="C77" s="10" t="s">
        <v>280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</row>
    <row r="78" s="1" customFormat="1" ht="25.5" customHeight="1" spans="1:17">
      <c r="A78" s="9"/>
      <c r="B78" s="10" t="s">
        <v>263</v>
      </c>
      <c r="C78" s="10" t="s">
        <v>280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 s="1" customFormat="1" ht="25.5" customHeight="1" spans="1:17">
      <c r="A79" s="9"/>
      <c r="B79" s="10" t="s">
        <v>266</v>
      </c>
      <c r="C79" s="10" t="s">
        <v>280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</row>
    <row r="80" s="1" customFormat="1" ht="25.5" customHeight="1" spans="1:17">
      <c r="A80" s="9"/>
      <c r="B80" s="10" t="s">
        <v>268</v>
      </c>
      <c r="C80" s="10" t="s">
        <v>280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 s="1" customFormat="1" ht="25.5" customHeight="1" spans="1:17">
      <c r="A81" s="9"/>
      <c r="B81" s="10" t="s">
        <v>270</v>
      </c>
      <c r="C81" s="10" t="s">
        <v>280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 s="1" customFormat="1" ht="25.5" customHeight="1" spans="1:17">
      <c r="A82" s="9"/>
      <c r="B82" s="10" t="s">
        <v>272</v>
      </c>
      <c r="C82" s="10" t="s">
        <v>280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r="83" s="1" customFormat="1" ht="25.5" customHeight="1" spans="1:17">
      <c r="A83" s="9"/>
      <c r="B83" s="10" t="s">
        <v>274</v>
      </c>
      <c r="C83" s="10" t="s">
        <v>280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</row>
    <row r="84" s="1" customFormat="1" ht="25.5" customHeight="1" spans="1:17">
      <c r="A84" s="9"/>
      <c r="B84" s="10" t="s">
        <v>276</v>
      </c>
      <c r="C84" s="10" t="s">
        <v>280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</row>
    <row r="85" s="1" customFormat="1" ht="25.5" customHeight="1" spans="1:17">
      <c r="A85" s="9"/>
      <c r="B85" s="10" t="s">
        <v>278</v>
      </c>
      <c r="C85" s="10" t="s">
        <v>280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</row>
    <row r="86" s="1" customFormat="1" ht="25.5" customHeight="1" spans="1:17">
      <c r="A86" s="9"/>
      <c r="B86" s="10" t="s">
        <v>536</v>
      </c>
      <c r="C86" s="10" t="s">
        <v>280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 s="1" customFormat="1" ht="25.5" customHeight="1" spans="1:17">
      <c r="A87" s="9" t="s">
        <v>304</v>
      </c>
      <c r="B87" s="10" t="s">
        <v>302</v>
      </c>
      <c r="C87" s="10" t="s">
        <v>280</v>
      </c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 ht="21" customHeight="1" spans="1:17">
      <c r="A88" s="13" t="s">
        <v>229</v>
      </c>
      <c r="B88" s="10" t="s">
        <v>230</v>
      </c>
      <c r="C88" s="10" t="s">
        <v>231</v>
      </c>
      <c r="D88" s="14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</row>
    <row r="89" ht="21" customHeight="1" spans="1:17">
      <c r="A89" s="16"/>
      <c r="B89" s="10" t="s">
        <v>233</v>
      </c>
      <c r="C89" s="10" t="s">
        <v>231</v>
      </c>
      <c r="D89" s="17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</row>
    <row r="90" ht="21" customHeight="1" spans="1:17">
      <c r="A90" s="16"/>
      <c r="B90" s="10" t="s">
        <v>235</v>
      </c>
      <c r="C90" s="10" t="s">
        <v>280</v>
      </c>
      <c r="D90" s="17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</row>
    <row r="91" ht="21" customHeight="1" spans="1:17">
      <c r="A91" s="16"/>
      <c r="B91" s="10" t="s">
        <v>237</v>
      </c>
      <c r="C91" s="10" t="s">
        <v>280</v>
      </c>
      <c r="D91" s="17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</row>
    <row r="92" ht="21" customHeight="1" spans="1:17">
      <c r="A92" s="16"/>
      <c r="B92" s="10" t="s">
        <v>239</v>
      </c>
      <c r="C92" s="10" t="s">
        <v>280</v>
      </c>
      <c r="D92" s="17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</row>
    <row r="93" ht="21" customHeight="1" spans="1:17">
      <c r="A93" s="19"/>
      <c r="B93" s="10" t="s">
        <v>241</v>
      </c>
      <c r="C93" s="10" t="s">
        <v>280</v>
      </c>
      <c r="D93" s="17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</row>
    <row r="94" ht="21" customHeight="1" spans="1:17">
      <c r="A94" s="13" t="s">
        <v>264</v>
      </c>
      <c r="B94" s="10" t="s">
        <v>265</v>
      </c>
      <c r="C94" s="10" t="s">
        <v>280</v>
      </c>
      <c r="D94" s="17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</row>
    <row r="95" ht="21" customHeight="1" spans="1:17">
      <c r="A95" s="16"/>
      <c r="B95" s="10" t="s">
        <v>267</v>
      </c>
      <c r="C95" s="10" t="s">
        <v>280</v>
      </c>
      <c r="D95" s="17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</row>
    <row r="96" ht="21" customHeight="1" spans="1:17">
      <c r="A96" s="16"/>
      <c r="B96" s="10" t="s">
        <v>273</v>
      </c>
      <c r="C96" s="10" t="s">
        <v>280</v>
      </c>
      <c r="D96" s="17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</row>
    <row r="97" ht="21" customHeight="1" spans="1:17">
      <c r="A97" s="16"/>
      <c r="B97" s="10" t="s">
        <v>275</v>
      </c>
      <c r="C97" s="10" t="s">
        <v>280</v>
      </c>
      <c r="D97" s="17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</row>
    <row r="98" ht="21" customHeight="1" spans="1:17">
      <c r="A98" s="19"/>
      <c r="B98" s="10" t="s">
        <v>277</v>
      </c>
      <c r="C98" s="10" t="s">
        <v>280</v>
      </c>
      <c r="D98" s="17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</row>
  </sheetData>
  <sheetProtection formatCells="0" formatColumns="0" formatRows="0" insertRows="0" insertColumns="0" insertHyperlinks="0" deleteColumns="0" deleteRows="0" sort="0" autoFilter="0" pivotTables="0"/>
  <mergeCells count="16">
    <mergeCell ref="A1:Q1"/>
    <mergeCell ref="A2:A3"/>
    <mergeCell ref="A4:A8"/>
    <mergeCell ref="A10:A15"/>
    <mergeCell ref="A16:A20"/>
    <mergeCell ref="A21:A22"/>
    <mergeCell ref="A23:A32"/>
    <mergeCell ref="A33:A36"/>
    <mergeCell ref="A37:A38"/>
    <mergeCell ref="A40:A55"/>
    <mergeCell ref="A56:A61"/>
    <mergeCell ref="A62:A86"/>
    <mergeCell ref="A88:A93"/>
    <mergeCell ref="A94:A98"/>
    <mergeCell ref="B2:B3"/>
    <mergeCell ref="C2:C3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omments xmlns="https://web.wps.cn/et/2018/main" xmlns:s="http://schemas.openxmlformats.org/spreadsheetml/2006/main" xmlns:r="http://schemas.openxmlformats.org/officeDocument/2006/relationships">
  <commentList sheetStid="1">
    <commentChains s:ref="D29" rgbClr="FF0000">
      <unresolved>
        <commentChain chainId="392c9d9ceccbf82828dd8e95b8cda10a86cbd742">
          <item id="aa97a292c3972dee049f7585c93a6aa6eabf3d50" isNormal="1">
            <s:text>
              <s:r>
                <s:t xml:space="preserve">胡新:
若无餐厨厨余以及污泥协同的处理线，则全部计入其他垃圾入厂量</s:t>
              </s:r>
            </s:text>
          </item>
        </commentChain>
      </unresolved>
      <resolved/>
    </commentChains>
    <commentChains s:ref="D32" rgbClr="FF0000">
      <unresolved>
        <commentChain chainId="d373453f5be9b80afa53dbf8c029ae57a1f40dbc">
          <item id="3f2c16407823607be7aa3cc549a85560f9338623" isNormal="1">
            <s:text>
              <s:r>
                <s:t xml:space="preserve">胡新:
处理外部过来的渗沥液量</s:t>
              </s:r>
            </s:text>
          </item>
        </commentChain>
      </unresolved>
      <resolved/>
    </commentChains>
    <commentChains s:ref="D110" rgbClr="FF0000">
      <unresolved>
        <commentChain chainId="3725b6819891a5413a6087411b7389e82229ea5e">
          <item id="5f0b2f8dbf98a4bf4deb8c01553626fd94b4ba0f" isNormal="1">
            <s:text>
              <s:r>
                <s:t xml:space="preserve">胡新:
沼气处理量拆分为下方四个指标</s:t>
              </s:r>
            </s:text>
          </item>
        </commentChain>
      </unresolved>
      <resolved/>
    </commentChains>
    <commentChains s:ref="D130" rgbClr="FF0000">
      <unresolved>
        <commentChain chainId="d5406908b9eb0bc154cd04586b4895d64a49be73">
          <item id="2992805284e5f803be3d3a9763f36169a74159e2" isNormal="1">
            <s:text>
              <s:r>
                <s:t xml:space="preserve">胡新:
过磅外运量，含生料</s:t>
              </s:r>
            </s:text>
          </item>
        </commentChain>
      </unresolved>
      <resolved/>
    </commentChains>
    <commentChains s:ref="D131" rgbClr="FF0000">
      <unresolved>
        <commentChain chainId="1b8c60a956b43e212839e1ead36bd916544b9612">
          <item id="b1588fa3a62285490e4f0d60c1da51601fc9d73e" isNormal="1">
            <s:text>
              <s:r>
                <s:t xml:space="preserve">胡新:
处理外部入厂的炉渣量</s:t>
              </s:r>
            </s:text>
          </item>
        </commentChain>
      </unresolved>
      <resolved/>
    </commentChains>
    <commentChains s:ref="D132" rgbClr="FF0000">
      <unresolved>
        <commentChain chainId="6112b0d27804aef0f1d5433720c91376f6014f35">
          <item id="82484b87ea0d4b5b4a891a5d370bcfbd2e67a02f" isNormal="1">
            <s:text>
              <s:r>
                <s:t xml:space="preserve">胡新:
过磅返厂的生料</s:t>
              </s:r>
            </s:text>
          </item>
        </commentChain>
      </unresolved>
      <resolved/>
    </commentChains>
    <commentChains s:ref="D144" rgbClr="FF0000">
      <unresolved>
        <commentChain chainId="5145d7995df97a4bde98010ed81ac6fb0b5b4181">
          <item id="e7d9b217981dca7146eeb495439cbd4e3bfae49f" isNormal="1">
            <s:text>
              <s:r>
                <s:t xml:space="preserve">胡新:
PNCR/SER药剂消耗量</s:t>
              </s:r>
            </s:text>
          </item>
        </commentChain>
      </unresolved>
      <resolved/>
    </commentChains>
    <commentChains s:ref="D164" rgbClr="FF0000">
      <unresolved>
        <commentChain chainId="d0f2b598369c29cc2f1d89c63fa45893f1b36239">
          <item id="4ffad5da1c30f3ee5cd1f67cc98662a3cf9649a3" isNormal="1">
            <s:text>
              <s:r>
                <s:t xml:space="preserve">胡新:
PNCR/SER药剂入厂量</s:t>
              </s:r>
            </s:text>
          </item>
        </commentChain>
      </unresolved>
      <resolved/>
    </commentChains>
  </commentList>
</comment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</woSheetsProps>
  <woBookProps>
    <bookSettings fileId="523390704170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11"/>
  <pixelatorList sheetStid="9"/>
  <pixelatorList sheetStid="6"/>
  <pixelatorList sheetStid="12"/>
  <pixelatorList sheetStid="13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WWO_wpscloud_20260521192124-597ff31d3d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1.生产日指标</vt:lpstr>
      <vt:lpstr>1-1.子公司月度报表模板</vt:lpstr>
      <vt:lpstr>1-2月度报表模板</vt:lpstr>
      <vt:lpstr>4.有机板块日指标（单体）</vt:lpstr>
      <vt:lpstr>4-1.有机板块月指标模版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胡新</dc:creator>
  <cp:lastModifiedBy>胡新</cp:lastModifiedBy>
  <dcterms:created xsi:type="dcterms:W3CDTF">2025-02-20T00:08:00Z</dcterms:created>
  <dcterms:modified xsi:type="dcterms:W3CDTF">2026-03-05T00:22:00Z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B9DE8CFC5CB64B858884F87FA51A409E_13</vt:lpwstr>
  </property>
  <property fmtid="{D5CDD505-2E9C-101B-9397-08002B2CF9AE}" pid="3" name="KSOProductBuildVer">
    <vt:lpwstr>2052-12.9.0.26832</vt:lpwstr>
  </property>
  <property fmtid="{D5CDD505-2E9C-101B-9397-08002B2CF9AE}" pid="4" name="CalculationRule">
    <vt:i4>0</vt:i4>
  </property>
</Properties>
</file>